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signer\Desktop\Front\01. - Front-end-docs\ჟურნალი\"/>
    </mc:Choice>
  </mc:AlternateContent>
  <xr:revisionPtr revIDLastSave="0" documentId="13_ncr:1_{1C8A0702-49D6-4E98-B8B6-2CBA26E2BE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01 ინტეგრირებულ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P1" i="1" l="1"/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</calcChain>
</file>

<file path=xl/sharedStrings.xml><?xml version="1.0" encoding="utf-8"?>
<sst xmlns="http://schemas.openxmlformats.org/spreadsheetml/2006/main" count="78" uniqueCount="58">
  <si>
    <t xml:space="preserve">პროგრამა                     </t>
  </si>
  <si>
    <t>front-end დეველოპმენტი (ინტეგრირებული მიდგომით) N301</t>
  </si>
  <si>
    <t>რიცხვი</t>
  </si>
  <si>
    <t>08.06.2026</t>
  </si>
  <si>
    <t>11.06.2026</t>
  </si>
  <si>
    <t>15,06,2026</t>
  </si>
  <si>
    <t>18.06.2026</t>
  </si>
  <si>
    <t>22.06.2026</t>
  </si>
  <si>
    <t>25.06.2026</t>
  </si>
  <si>
    <t>მოდული:  დინამიური ვებგვერდის შექმნა typescript-ის საშუალებით; N 06.1.1.4</t>
  </si>
  <si>
    <t>პროფესიული განათლების მასწავლებელი</t>
  </si>
  <si>
    <t>ლევან ჭუმბურიძე</t>
  </si>
  <si>
    <t>საკონტაქტო საათები</t>
  </si>
  <si>
    <t>შეფასება</t>
  </si>
  <si>
    <t>დამოუკიდებელი</t>
  </si>
  <si>
    <t>სულ-საათების ჯამური რაოდენობა</t>
  </si>
  <si>
    <t>N</t>
  </si>
  <si>
    <t>სახელი გვარი</t>
  </si>
  <si>
    <t>გაცდენილი საათები</t>
  </si>
  <si>
    <t>სულ</t>
  </si>
  <si>
    <t>%</t>
  </si>
  <si>
    <r>
      <rPr>
        <sz val="11"/>
        <color indexed="63"/>
        <rFont val="Sylfaen"/>
      </rPr>
      <t>არმინე</t>
    </r>
  </si>
  <si>
    <r>
      <rPr>
        <sz val="11"/>
        <color indexed="63"/>
        <rFont val="Sylfaen"/>
      </rPr>
      <t>იორდანიან</t>
    </r>
  </si>
  <si>
    <r>
      <rPr>
        <sz val="11"/>
        <color indexed="63"/>
        <rFont val="Sylfaen"/>
      </rPr>
      <t>ალექსეი</t>
    </r>
  </si>
  <si>
    <r>
      <rPr>
        <sz val="11"/>
        <color indexed="63"/>
        <rFont val="Sylfaen"/>
      </rPr>
      <t>მოზაიძე</t>
    </r>
  </si>
  <si>
    <r>
      <rPr>
        <sz val="11"/>
        <color indexed="63"/>
        <rFont val="Sylfaen"/>
      </rPr>
      <t>ზურიკო</t>
    </r>
  </si>
  <si>
    <r>
      <rPr>
        <sz val="11"/>
        <color indexed="63"/>
        <rFont val="Sylfaen"/>
      </rPr>
      <t>კორსანტია</t>
    </r>
  </si>
  <si>
    <t>დადასტურება</t>
  </si>
  <si>
    <r>
      <rPr>
        <sz val="11"/>
        <color indexed="63"/>
        <rFont val="Sylfaen"/>
      </rPr>
      <t>ლუკა</t>
    </r>
  </si>
  <si>
    <t>მათითაიშვილი</t>
  </si>
  <si>
    <r>
      <rPr>
        <sz val="11"/>
        <color indexed="63"/>
        <rFont val="Sylfaen"/>
      </rPr>
      <t>საბა</t>
    </r>
  </si>
  <si>
    <r>
      <rPr>
        <sz val="11"/>
        <color indexed="63"/>
        <rFont val="Sylfaen"/>
      </rPr>
      <t>ლაჩაშვილი</t>
    </r>
  </si>
  <si>
    <r>
      <rPr>
        <sz val="11"/>
        <color indexed="63"/>
        <rFont val="Sylfaen"/>
      </rPr>
      <t>ალბინა</t>
    </r>
  </si>
  <si>
    <r>
      <rPr>
        <sz val="11"/>
        <color indexed="63"/>
        <rFont val="Sylfaen"/>
      </rPr>
      <t>ძახოევი</t>
    </r>
  </si>
  <si>
    <r>
      <rPr>
        <sz val="11"/>
        <color indexed="63"/>
        <rFont val="Sylfaen"/>
      </rPr>
      <t>მირიან</t>
    </r>
  </si>
  <si>
    <r>
      <rPr>
        <sz val="11"/>
        <color indexed="63"/>
        <rFont val="Sylfaen"/>
      </rPr>
      <t>ქათამაძე</t>
    </r>
  </si>
  <si>
    <r>
      <rPr>
        <sz val="11"/>
        <color indexed="63"/>
        <rFont val="Sylfaen"/>
      </rPr>
      <t>ოდიშვილი</t>
    </r>
  </si>
  <si>
    <r>
      <rPr>
        <sz val="11"/>
        <color indexed="63"/>
        <rFont val="Sylfaen"/>
      </rPr>
      <t>ბანძელაძე</t>
    </r>
  </si>
  <si>
    <r>
      <rPr>
        <sz val="11"/>
        <color indexed="63"/>
        <rFont val="Sylfaen"/>
      </rPr>
      <t>მირცხულავა</t>
    </r>
  </si>
  <si>
    <r>
      <rPr>
        <sz val="11"/>
        <color indexed="63"/>
        <rFont val="Sylfaen"/>
      </rPr>
      <t>ლევან</t>
    </r>
  </si>
  <si>
    <r>
      <rPr>
        <sz val="11"/>
        <color indexed="63"/>
        <rFont val="Sylfaen"/>
      </rPr>
      <t>გობეჯიშვილი</t>
    </r>
  </si>
  <si>
    <t>ალექსანდრე</t>
  </si>
  <si>
    <r>
      <rPr>
        <sz val="11"/>
        <color indexed="63"/>
        <rFont val="Sylfaen"/>
      </rPr>
      <t>ბერიაშვილი</t>
    </r>
  </si>
  <si>
    <r>
      <rPr>
        <sz val="11"/>
        <color indexed="63"/>
        <rFont val="Sylfaen"/>
      </rPr>
      <t>მარტიროს</t>
    </r>
  </si>
  <si>
    <r>
      <rPr>
        <sz val="11"/>
        <color indexed="63"/>
        <rFont val="Sylfaen"/>
      </rPr>
      <t>არუთუნიან</t>
    </r>
  </si>
  <si>
    <r>
      <rPr>
        <sz val="11"/>
        <color indexed="63"/>
        <rFont val="Sylfaen"/>
      </rPr>
      <t>ირინა</t>
    </r>
  </si>
  <si>
    <r>
      <rPr>
        <sz val="11"/>
        <color indexed="63"/>
        <rFont val="Sylfaen"/>
      </rPr>
      <t>მატაშოვა</t>
    </r>
  </si>
  <si>
    <r>
      <rPr>
        <sz val="11"/>
        <color indexed="63"/>
        <rFont val="Sylfaen"/>
      </rPr>
      <t>ნიკოლოზ</t>
    </r>
  </si>
  <si>
    <r>
      <rPr>
        <sz val="11"/>
        <color indexed="63"/>
        <rFont val="Sylfaen"/>
      </rPr>
      <t>ქისიშვილი</t>
    </r>
  </si>
  <si>
    <r>
      <rPr>
        <sz val="11"/>
        <color indexed="63"/>
        <rFont val="Sylfaen"/>
      </rPr>
      <t>დავითი</t>
    </r>
  </si>
  <si>
    <r>
      <rPr>
        <sz val="11"/>
        <color indexed="63"/>
        <rFont val="Sylfaen"/>
      </rPr>
      <t>ვეშაგური</t>
    </r>
  </si>
  <si>
    <r>
      <rPr>
        <sz val="11"/>
        <color indexed="63"/>
        <rFont val="Sylfaen"/>
      </rPr>
      <t>გიორგი</t>
    </r>
  </si>
  <si>
    <r>
      <rPr>
        <sz val="11"/>
        <color indexed="63"/>
        <rFont val="Sylfaen"/>
      </rPr>
      <t>ბენდიანიშვილი</t>
    </r>
  </si>
  <si>
    <r>
      <rPr>
        <sz val="11"/>
        <color indexed="63"/>
        <rFont val="Sylfaen"/>
      </rPr>
      <t>ვაჟა</t>
    </r>
  </si>
  <si>
    <r>
      <rPr>
        <sz val="11"/>
        <color indexed="63"/>
        <rFont val="Sylfaen"/>
      </rPr>
      <t>ხარაზიშვილი</t>
    </r>
  </si>
  <si>
    <t>სტატუსი შეუწყდა 2025 წლის 17 ოქტომბირდან</t>
  </si>
  <si>
    <t>11.02-ში გავაცდინე 3სთ;</t>
  </si>
  <si>
    <t>სტატუსი შეუწყდა 09.07.2026-დან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</si>
</sst>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scheme val="minor"/>
    </font>
    <font>
      <sz val="9"/>
      <color theme="1"/>
      <name val="Sylfaen"/>
    </font>
    <font>
      <sz val="10"/>
      <color theme="1"/>
      <name val="Calibri"/>
      <scheme val="minor"/>
    </font>
    <font>
      <sz val="10"/>
      <color theme="1"/>
      <name val="Sylfaen"/>
    </font>
    <font>
      <b/>
      <sz val="9"/>
      <color indexed="2"/>
      <name val="Sylfaen"/>
    </font>
    <font>
      <b/>
      <sz val="9"/>
      <color theme="1"/>
      <name val="Sylfaen"/>
    </font>
    <font>
      <b/>
      <sz val="9"/>
      <color theme="1"/>
      <name val="Calibri"/>
      <scheme val="minor"/>
    </font>
    <font>
      <sz val="11"/>
      <name val="Sylfaen"/>
    </font>
    <font>
      <b/>
      <sz val="11"/>
      <color indexed="2"/>
      <name val="Sylfaen"/>
    </font>
    <font>
      <sz val="11"/>
      <color indexed="63"/>
      <name val="Sylfaen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0"/>
      </patternFill>
    </fill>
    <fill>
      <patternFill patternType="solid">
        <fgColor indexed="2"/>
        <bgColor indexed="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4" fontId="10" fillId="0" borderId="0" applyFont="0" applyFill="0" applyBorder="0" applyProtection="0"/>
  </cellStyleXfs>
  <cellXfs count="6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textRotation="90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8" fillId="2" borderId="1" xfId="1" applyFont="1" applyFill="1" applyBorder="1"/>
    <xf numFmtId="0" fontId="0" fillId="5" borderId="0" xfId="0" applyFill="1"/>
    <xf numFmtId="0" fontId="9" fillId="2" borderId="1" xfId="0" applyFont="1" applyFill="1" applyBorder="1" applyAlignment="1">
      <alignment vertical="top" wrapText="1"/>
    </xf>
    <xf numFmtId="164" fontId="8" fillId="2" borderId="11" xfId="1" applyFont="1" applyFill="1" applyBorder="1"/>
    <xf numFmtId="0" fontId="1" fillId="0" borderId="16" xfId="0" applyFont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4" fontId="3" fillId="2" borderId="12" xfId="0" applyNumberFormat="1" applyFont="1" applyFill="1" applyBorder="1" applyAlignment="1">
      <alignment horizontal="center" vertical="center" textRotation="90"/>
    </xf>
    <xf numFmtId="14" fontId="3" fillId="2" borderId="17" xfId="0" applyNumberFormat="1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4" fontId="3" fillId="7" borderId="12" xfId="0" applyNumberFormat="1" applyFont="1" applyFill="1" applyBorder="1" applyAlignment="1">
      <alignment horizontal="center" vertical="center" textRotation="90"/>
    </xf>
    <xf numFmtId="14" fontId="3" fillId="7" borderId="17" xfId="0" applyNumberFormat="1" applyFont="1" applyFill="1" applyBorder="1" applyAlignment="1">
      <alignment horizontal="center" vertical="center" textRotation="90"/>
    </xf>
    <xf numFmtId="14" fontId="3" fillId="6" borderId="13" xfId="0" applyNumberFormat="1" applyFont="1" applyFill="1" applyBorder="1" applyAlignment="1">
      <alignment horizontal="center" vertical="center" textRotation="90"/>
    </xf>
    <xf numFmtId="14" fontId="3" fillId="6" borderId="18" xfId="0" applyNumberFormat="1" applyFont="1" applyFill="1" applyBorder="1" applyAlignment="1">
      <alignment horizontal="center" vertical="center" textRotation="90"/>
    </xf>
    <xf numFmtId="14" fontId="3" fillId="2" borderId="13" xfId="0" applyNumberFormat="1" applyFont="1" applyFill="1" applyBorder="1" applyAlignment="1">
      <alignment horizontal="center" vertical="center" textRotation="90"/>
    </xf>
    <xf numFmtId="14" fontId="3" fillId="2" borderId="18" xfId="0" applyNumberFormat="1" applyFont="1" applyFill="1" applyBorder="1" applyAlignment="1">
      <alignment horizontal="center" vertical="center" textRotation="90"/>
    </xf>
    <xf numFmtId="0" fontId="6" fillId="2" borderId="1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1" fillId="2" borderId="17" xfId="0" applyFont="1" applyFill="1" applyBorder="1" applyAlignment="1">
      <alignment horizontal="center" vertical="center" textRotation="9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nlyoffice.com/jsaProject" Target="js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31"/>
  <sheetViews>
    <sheetView tabSelected="1" topLeftCell="AM1" workbookViewId="0">
      <selection activeCell="CA2" sqref="CA2:CA7"/>
    </sheetView>
  </sheetViews>
  <sheetFormatPr defaultColWidth="3.5703125" defaultRowHeight="16.5" customHeight="1" x14ac:dyDescent="0.25"/>
  <cols>
    <col min="1" max="1" width="3.5703125" style="2"/>
    <col min="2" max="3" width="21" style="1" customWidth="1"/>
    <col min="4" max="4" width="8" style="1" customWidth="1"/>
    <col min="5" max="5" width="5.5703125" style="1" customWidth="1"/>
    <col min="6" max="16384" width="3.5703125" style="1"/>
  </cols>
  <sheetData>
    <row r="1" spans="1:150" ht="16.5" customHeight="1" x14ac:dyDescent="0.25">
      <c r="A1" s="56" t="s">
        <v>0</v>
      </c>
      <c r="B1" s="57" t="s">
        <v>1</v>
      </c>
      <c r="C1" s="57"/>
      <c r="D1" s="58"/>
      <c r="F1" s="61">
        <v>4</v>
      </c>
      <c r="G1" s="62"/>
      <c r="H1" s="62"/>
      <c r="I1" s="62"/>
      <c r="J1" s="32">
        <v>3</v>
      </c>
      <c r="K1" s="32"/>
      <c r="L1" s="32"/>
      <c r="M1" s="32">
        <v>4</v>
      </c>
      <c r="N1" s="32"/>
      <c r="O1" s="32"/>
      <c r="P1" s="32"/>
      <c r="Q1" s="63">
        <v>4</v>
      </c>
      <c r="R1" s="64"/>
      <c r="S1" s="64"/>
      <c r="T1" s="65"/>
      <c r="U1" s="63">
        <v>4</v>
      </c>
      <c r="V1" s="64"/>
      <c r="W1" s="64"/>
      <c r="X1" s="65"/>
      <c r="Y1" s="63">
        <v>4</v>
      </c>
      <c r="Z1" s="64"/>
      <c r="AA1" s="64"/>
      <c r="AB1" s="65"/>
      <c r="AC1" s="30">
        <v>2</v>
      </c>
      <c r="AD1" s="31"/>
      <c r="AE1" s="21">
        <v>4</v>
      </c>
      <c r="AF1" s="22"/>
      <c r="AG1" s="22"/>
      <c r="AH1" s="23"/>
      <c r="AI1" s="21">
        <v>4</v>
      </c>
      <c r="AJ1" s="22"/>
      <c r="AK1" s="22"/>
      <c r="AL1" s="23"/>
      <c r="AM1" s="21">
        <v>2</v>
      </c>
      <c r="AN1" s="23"/>
      <c r="AO1" s="21">
        <v>4</v>
      </c>
      <c r="AP1" s="22"/>
      <c r="AQ1" s="22"/>
      <c r="AR1" s="23"/>
      <c r="AS1" s="21">
        <v>5</v>
      </c>
      <c r="AT1" s="22"/>
      <c r="AU1" s="22"/>
      <c r="AV1" s="22"/>
      <c r="AW1" s="23"/>
      <c r="AX1" s="3">
        <v>1</v>
      </c>
      <c r="AY1" s="21">
        <v>5</v>
      </c>
      <c r="AZ1" s="22"/>
      <c r="BA1" s="22"/>
      <c r="BB1" s="22"/>
      <c r="BC1" s="23"/>
      <c r="BD1" s="21">
        <v>3</v>
      </c>
      <c r="BE1" s="22"/>
      <c r="BF1" s="23"/>
      <c r="BG1" s="3">
        <v>1</v>
      </c>
      <c r="BH1" s="32">
        <v>5</v>
      </c>
      <c r="BI1" s="32"/>
      <c r="BJ1" s="32"/>
      <c r="BK1" s="32"/>
      <c r="BL1" s="32"/>
      <c r="BM1" s="21">
        <v>3</v>
      </c>
      <c r="BN1" s="22"/>
      <c r="BO1" s="23"/>
      <c r="BP1" s="20">
        <v>1</v>
      </c>
      <c r="BQ1" s="24">
        <v>5</v>
      </c>
      <c r="BR1" s="25"/>
      <c r="BS1" s="25"/>
      <c r="BT1" s="25"/>
      <c r="BU1" s="26"/>
      <c r="BV1" s="21">
        <v>3</v>
      </c>
      <c r="BW1" s="22"/>
      <c r="BX1" s="23"/>
      <c r="BY1" s="3">
        <v>1</v>
      </c>
      <c r="BZ1" s="21">
        <v>3</v>
      </c>
      <c r="CA1" s="22"/>
      <c r="CB1" s="23"/>
      <c r="CC1" s="4"/>
      <c r="CD1" s="4"/>
      <c r="CE1" s="4"/>
      <c r="CF1" s="4"/>
      <c r="CG1" s="4"/>
      <c r="CH1" s="5"/>
      <c r="CI1" s="5"/>
      <c r="CJ1" s="5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1">
        <f>SUM(E1:EO1)</f>
        <v>75</v>
      </c>
    </row>
    <row r="2" spans="1:150" ht="11.25" customHeight="1" x14ac:dyDescent="0.25">
      <c r="A2" s="56"/>
      <c r="B2" s="59"/>
      <c r="C2" s="59"/>
      <c r="D2" s="60"/>
      <c r="E2" s="66" t="s">
        <v>2</v>
      </c>
      <c r="F2" s="39" t="s">
        <v>3</v>
      </c>
      <c r="G2" s="51" t="s">
        <v>3</v>
      </c>
      <c r="H2" s="51" t="s">
        <v>3</v>
      </c>
      <c r="I2" s="51" t="s">
        <v>3</v>
      </c>
      <c r="J2" s="39" t="s">
        <v>4</v>
      </c>
      <c r="K2" s="51" t="s">
        <v>4</v>
      </c>
      <c r="L2" s="51" t="s">
        <v>4</v>
      </c>
      <c r="M2" s="39" t="s">
        <v>5</v>
      </c>
      <c r="N2" s="39" t="s">
        <v>5</v>
      </c>
      <c r="O2" s="39" t="s">
        <v>5</v>
      </c>
      <c r="P2" s="39" t="s">
        <v>5</v>
      </c>
      <c r="Q2" s="39" t="s">
        <v>6</v>
      </c>
      <c r="R2" s="51" t="s">
        <v>6</v>
      </c>
      <c r="S2" s="51" t="s">
        <v>6</v>
      </c>
      <c r="T2" s="51" t="s">
        <v>6</v>
      </c>
      <c r="U2" s="39" t="s">
        <v>7</v>
      </c>
      <c r="V2" s="51" t="s">
        <v>7</v>
      </c>
      <c r="W2" s="51" t="s">
        <v>7</v>
      </c>
      <c r="X2" s="51" t="s">
        <v>7</v>
      </c>
      <c r="Y2" s="39" t="s">
        <v>8</v>
      </c>
      <c r="Z2" s="51" t="s">
        <v>8</v>
      </c>
      <c r="AA2" s="49" t="s">
        <v>8</v>
      </c>
      <c r="AB2" s="49" t="s">
        <v>8</v>
      </c>
      <c r="AC2" s="39">
        <v>46199</v>
      </c>
      <c r="AD2" s="39">
        <v>46199</v>
      </c>
      <c r="AE2" s="39">
        <v>46202</v>
      </c>
      <c r="AF2" s="39">
        <v>46202</v>
      </c>
      <c r="AG2" s="39">
        <v>46202</v>
      </c>
      <c r="AH2" s="39">
        <v>46202</v>
      </c>
      <c r="AI2" s="39">
        <v>46205</v>
      </c>
      <c r="AJ2" s="39">
        <v>46205</v>
      </c>
      <c r="AK2" s="39">
        <v>46205</v>
      </c>
      <c r="AL2" s="39">
        <v>46205</v>
      </c>
      <c r="AM2" s="39">
        <v>46206</v>
      </c>
      <c r="AN2" s="39">
        <v>46206</v>
      </c>
      <c r="AO2" s="39">
        <v>46212</v>
      </c>
      <c r="AP2" s="39">
        <v>46212</v>
      </c>
      <c r="AQ2" s="39">
        <v>46212</v>
      </c>
      <c r="AR2" s="39">
        <v>46212</v>
      </c>
      <c r="AS2" s="39">
        <v>46213</v>
      </c>
      <c r="AT2" s="39">
        <v>46213</v>
      </c>
      <c r="AU2" s="39">
        <v>46213</v>
      </c>
      <c r="AV2" s="39">
        <v>46213</v>
      </c>
      <c r="AW2" s="39">
        <v>46213</v>
      </c>
      <c r="AX2" s="39">
        <v>46218</v>
      </c>
      <c r="AY2" s="39">
        <v>46219</v>
      </c>
      <c r="AZ2" s="39">
        <v>46219</v>
      </c>
      <c r="BA2" s="39">
        <v>46219</v>
      </c>
      <c r="BB2" s="39">
        <v>46219</v>
      </c>
      <c r="BC2" s="39">
        <v>46219</v>
      </c>
      <c r="BD2" s="39">
        <v>46220</v>
      </c>
      <c r="BE2" s="39">
        <v>46220</v>
      </c>
      <c r="BF2" s="39">
        <v>46220</v>
      </c>
      <c r="BG2" s="39">
        <v>46225</v>
      </c>
      <c r="BH2" s="39">
        <v>46226</v>
      </c>
      <c r="BI2" s="39">
        <v>46226</v>
      </c>
      <c r="BJ2" s="39">
        <v>46226</v>
      </c>
      <c r="BK2" s="39">
        <v>46226</v>
      </c>
      <c r="BL2" s="39">
        <v>46226</v>
      </c>
      <c r="BM2" s="39">
        <v>46227</v>
      </c>
      <c r="BN2" s="39">
        <v>46227</v>
      </c>
      <c r="BO2" s="39">
        <v>46227</v>
      </c>
      <c r="BP2" s="39">
        <v>46232</v>
      </c>
      <c r="BQ2" s="39">
        <v>46233</v>
      </c>
      <c r="BR2" s="39">
        <v>46233</v>
      </c>
      <c r="BS2" s="39">
        <v>46233</v>
      </c>
      <c r="BT2" s="39">
        <v>46233</v>
      </c>
      <c r="BU2" s="39">
        <v>46233</v>
      </c>
      <c r="BV2" s="39">
        <v>46234</v>
      </c>
      <c r="BW2" s="39">
        <v>46234</v>
      </c>
      <c r="BX2" s="47">
        <v>46234</v>
      </c>
      <c r="BY2" s="39">
        <v>46274</v>
      </c>
      <c r="BZ2" s="39">
        <v>46276</v>
      </c>
      <c r="CA2" s="39">
        <v>46276</v>
      </c>
      <c r="CB2" s="39">
        <v>46276</v>
      </c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</row>
    <row r="3" spans="1:150" ht="24" customHeight="1" x14ac:dyDescent="0.25">
      <c r="A3" s="41" t="s">
        <v>9</v>
      </c>
      <c r="B3" s="41"/>
      <c r="C3" s="41"/>
      <c r="D3" s="41"/>
      <c r="E3" s="67"/>
      <c r="F3" s="39"/>
      <c r="G3" s="51"/>
      <c r="H3" s="51"/>
      <c r="I3" s="51"/>
      <c r="J3" s="39"/>
      <c r="K3" s="51"/>
      <c r="L3" s="51"/>
      <c r="M3" s="39"/>
      <c r="N3" s="39"/>
      <c r="O3" s="39"/>
      <c r="P3" s="39"/>
      <c r="Q3" s="39"/>
      <c r="R3" s="51"/>
      <c r="S3" s="51"/>
      <c r="T3" s="51"/>
      <c r="U3" s="39"/>
      <c r="V3" s="51"/>
      <c r="W3" s="51"/>
      <c r="X3" s="51"/>
      <c r="Y3" s="39"/>
      <c r="Z3" s="51"/>
      <c r="AA3" s="49"/>
      <c r="AB3" s="4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47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</row>
    <row r="4" spans="1:150" ht="24.75" customHeight="1" x14ac:dyDescent="0.25">
      <c r="A4" s="41" t="s">
        <v>10</v>
      </c>
      <c r="B4" s="41"/>
      <c r="C4" s="42" t="s">
        <v>11</v>
      </c>
      <c r="D4" s="35"/>
      <c r="E4" s="67"/>
      <c r="F4" s="39"/>
      <c r="G4" s="51"/>
      <c r="H4" s="51"/>
      <c r="I4" s="51"/>
      <c r="J4" s="39"/>
      <c r="K4" s="51"/>
      <c r="L4" s="51"/>
      <c r="M4" s="39"/>
      <c r="N4" s="39"/>
      <c r="O4" s="39"/>
      <c r="P4" s="39"/>
      <c r="Q4" s="39"/>
      <c r="R4" s="51"/>
      <c r="S4" s="51"/>
      <c r="T4" s="51"/>
      <c r="U4" s="39"/>
      <c r="V4" s="51"/>
      <c r="W4" s="51"/>
      <c r="X4" s="51"/>
      <c r="Y4" s="39"/>
      <c r="Z4" s="51"/>
      <c r="AA4" s="49"/>
      <c r="AB4" s="4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47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</row>
    <row r="5" spans="1:150" ht="16.5" customHeight="1" x14ac:dyDescent="0.25">
      <c r="A5" s="43" t="s">
        <v>12</v>
      </c>
      <c r="B5" s="43"/>
      <c r="C5" s="44">
        <v>110</v>
      </c>
      <c r="D5" s="45"/>
      <c r="E5" s="67"/>
      <c r="F5" s="39"/>
      <c r="G5" s="51"/>
      <c r="H5" s="51"/>
      <c r="I5" s="51"/>
      <c r="J5" s="39"/>
      <c r="K5" s="51"/>
      <c r="L5" s="51"/>
      <c r="M5" s="39"/>
      <c r="N5" s="39"/>
      <c r="O5" s="39"/>
      <c r="P5" s="39"/>
      <c r="Q5" s="39"/>
      <c r="R5" s="51"/>
      <c r="S5" s="51"/>
      <c r="T5" s="51"/>
      <c r="U5" s="39"/>
      <c r="V5" s="51"/>
      <c r="W5" s="51"/>
      <c r="X5" s="51"/>
      <c r="Y5" s="39"/>
      <c r="Z5" s="51"/>
      <c r="AA5" s="49"/>
      <c r="AB5" s="4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47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</row>
    <row r="6" spans="1:150" ht="16.5" customHeight="1" x14ac:dyDescent="0.25">
      <c r="A6" s="43" t="s">
        <v>13</v>
      </c>
      <c r="B6" s="43"/>
      <c r="C6" s="44">
        <v>10</v>
      </c>
      <c r="D6" s="45"/>
      <c r="E6" s="67"/>
      <c r="F6" s="39"/>
      <c r="G6" s="51"/>
      <c r="H6" s="51"/>
      <c r="I6" s="51"/>
      <c r="J6" s="39"/>
      <c r="K6" s="51"/>
      <c r="L6" s="51"/>
      <c r="M6" s="39"/>
      <c r="N6" s="39"/>
      <c r="O6" s="39"/>
      <c r="P6" s="39"/>
      <c r="Q6" s="39"/>
      <c r="R6" s="51"/>
      <c r="S6" s="51"/>
      <c r="T6" s="51"/>
      <c r="U6" s="39"/>
      <c r="V6" s="51"/>
      <c r="W6" s="51"/>
      <c r="X6" s="51"/>
      <c r="Y6" s="39"/>
      <c r="Z6" s="51"/>
      <c r="AA6" s="49"/>
      <c r="AB6" s="4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47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</row>
    <row r="7" spans="1:150" ht="16.5" customHeight="1" x14ac:dyDescent="0.25">
      <c r="A7" s="46" t="s">
        <v>14</v>
      </c>
      <c r="B7" s="46"/>
      <c r="C7" s="44">
        <v>30</v>
      </c>
      <c r="D7" s="45"/>
      <c r="E7" s="68"/>
      <c r="F7" s="40"/>
      <c r="G7" s="52"/>
      <c r="H7" s="52"/>
      <c r="I7" s="52"/>
      <c r="J7" s="40"/>
      <c r="K7" s="52"/>
      <c r="L7" s="52"/>
      <c r="M7" s="40"/>
      <c r="N7" s="40"/>
      <c r="O7" s="40"/>
      <c r="P7" s="40"/>
      <c r="Q7" s="40"/>
      <c r="R7" s="52"/>
      <c r="S7" s="52"/>
      <c r="T7" s="52"/>
      <c r="U7" s="40"/>
      <c r="V7" s="52"/>
      <c r="W7" s="52"/>
      <c r="X7" s="52"/>
      <c r="Y7" s="40"/>
      <c r="Z7" s="52"/>
      <c r="AA7" s="50"/>
      <c r="AB7" s="5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8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</row>
    <row r="8" spans="1:150" ht="24" customHeight="1" x14ac:dyDescent="0.25">
      <c r="A8" s="33" t="s">
        <v>15</v>
      </c>
      <c r="B8" s="33"/>
      <c r="C8" s="34">
        <v>150</v>
      </c>
      <c r="D8" s="35"/>
      <c r="E8" s="6"/>
      <c r="F8" s="27">
        <v>1</v>
      </c>
      <c r="G8" s="27">
        <v>2</v>
      </c>
      <c r="H8" s="27">
        <v>3</v>
      </c>
      <c r="I8" s="27">
        <v>4</v>
      </c>
      <c r="J8" s="27">
        <v>5</v>
      </c>
      <c r="K8" s="27">
        <v>6</v>
      </c>
      <c r="L8" s="27">
        <v>7</v>
      </c>
      <c r="M8" s="27">
        <v>8</v>
      </c>
      <c r="N8" s="27">
        <v>9</v>
      </c>
      <c r="O8" s="27">
        <v>10</v>
      </c>
      <c r="P8" s="27">
        <v>11</v>
      </c>
      <c r="Q8" s="27">
        <v>12</v>
      </c>
      <c r="R8" s="27">
        <v>13</v>
      </c>
      <c r="S8" s="27">
        <v>14</v>
      </c>
      <c r="T8" s="27">
        <v>15</v>
      </c>
      <c r="U8" s="27">
        <v>16</v>
      </c>
      <c r="V8" s="27">
        <v>17</v>
      </c>
      <c r="W8" s="27">
        <v>18</v>
      </c>
      <c r="X8" s="27">
        <v>19</v>
      </c>
      <c r="Y8" s="27">
        <v>20</v>
      </c>
      <c r="Z8" s="27">
        <v>21</v>
      </c>
      <c r="AA8" s="27">
        <v>22</v>
      </c>
      <c r="AB8" s="27">
        <v>23</v>
      </c>
      <c r="AC8" s="27">
        <v>24</v>
      </c>
      <c r="AD8" s="27">
        <v>25</v>
      </c>
      <c r="AE8" s="27">
        <v>26</v>
      </c>
      <c r="AF8" s="27">
        <v>27</v>
      </c>
      <c r="AG8" s="27">
        <v>28</v>
      </c>
      <c r="AH8" s="27">
        <v>29</v>
      </c>
      <c r="AI8" s="27">
        <v>30</v>
      </c>
      <c r="AJ8" s="27">
        <v>31</v>
      </c>
      <c r="AK8" s="27">
        <v>32</v>
      </c>
      <c r="AL8" s="27">
        <v>33</v>
      </c>
      <c r="AM8" s="27">
        <v>34</v>
      </c>
      <c r="AN8" s="27">
        <v>35</v>
      </c>
      <c r="AO8" s="27">
        <v>36</v>
      </c>
      <c r="AP8" s="27">
        <v>37</v>
      </c>
      <c r="AQ8" s="27">
        <v>38</v>
      </c>
      <c r="AR8" s="27">
        <v>39</v>
      </c>
      <c r="AS8" s="27">
        <v>40</v>
      </c>
      <c r="AT8" s="27">
        <v>41</v>
      </c>
      <c r="AU8" s="27">
        <v>42</v>
      </c>
      <c r="AV8" s="27">
        <v>43</v>
      </c>
      <c r="AW8" s="27">
        <v>44</v>
      </c>
      <c r="AX8" s="27">
        <v>45</v>
      </c>
      <c r="AY8" s="27">
        <v>46</v>
      </c>
      <c r="AZ8" s="27">
        <v>47</v>
      </c>
      <c r="BA8" s="27">
        <v>48</v>
      </c>
      <c r="BB8" s="27">
        <v>49</v>
      </c>
      <c r="BC8" s="27">
        <v>50</v>
      </c>
      <c r="BD8" s="27">
        <v>51</v>
      </c>
      <c r="BE8" s="27">
        <v>52</v>
      </c>
      <c r="BF8" s="27">
        <v>53</v>
      </c>
      <c r="BG8" s="27">
        <v>54</v>
      </c>
      <c r="BH8" s="27">
        <v>55</v>
      </c>
      <c r="BI8" s="27">
        <v>56</v>
      </c>
      <c r="BJ8" s="27">
        <v>57</v>
      </c>
      <c r="BK8" s="27">
        <v>58</v>
      </c>
      <c r="BL8" s="27">
        <v>59</v>
      </c>
      <c r="BM8" s="27">
        <v>60</v>
      </c>
      <c r="BN8" s="27">
        <v>61</v>
      </c>
      <c r="BO8" s="27">
        <v>62</v>
      </c>
      <c r="BP8" s="27">
        <v>63</v>
      </c>
      <c r="BQ8" s="27">
        <v>64</v>
      </c>
      <c r="BR8" s="27">
        <v>65</v>
      </c>
      <c r="BS8" s="27">
        <v>66</v>
      </c>
      <c r="BT8" s="27">
        <v>67</v>
      </c>
      <c r="BU8" s="27">
        <v>68</v>
      </c>
      <c r="BV8" s="27">
        <v>69</v>
      </c>
      <c r="BW8" s="27">
        <v>70</v>
      </c>
      <c r="BX8" s="27">
        <v>71</v>
      </c>
      <c r="BY8" s="27">
        <v>72</v>
      </c>
      <c r="BZ8" s="27">
        <v>73</v>
      </c>
      <c r="CA8" s="27">
        <v>74</v>
      </c>
      <c r="CB8" s="27">
        <v>75</v>
      </c>
      <c r="CC8" s="27">
        <v>76</v>
      </c>
      <c r="CD8" s="27">
        <v>77</v>
      </c>
      <c r="CE8" s="27">
        <v>78</v>
      </c>
      <c r="CF8" s="27">
        <v>79</v>
      </c>
      <c r="CG8" s="27">
        <v>80</v>
      </c>
      <c r="CH8" s="27">
        <v>81</v>
      </c>
      <c r="CI8" s="27">
        <v>82</v>
      </c>
      <c r="CJ8" s="27">
        <v>83</v>
      </c>
      <c r="CK8" s="27">
        <v>84</v>
      </c>
      <c r="CL8" s="27">
        <v>85</v>
      </c>
      <c r="CM8" s="27">
        <v>86</v>
      </c>
      <c r="CN8" s="27">
        <v>87</v>
      </c>
      <c r="CO8" s="27">
        <v>88</v>
      </c>
      <c r="CP8" s="27">
        <v>89</v>
      </c>
      <c r="CQ8" s="27">
        <v>90</v>
      </c>
      <c r="CR8" s="27">
        <v>91</v>
      </c>
      <c r="CS8" s="27">
        <v>92</v>
      </c>
      <c r="CT8" s="27">
        <v>93</v>
      </c>
      <c r="CU8" s="27">
        <v>94</v>
      </c>
      <c r="CV8" s="27">
        <v>95</v>
      </c>
      <c r="CW8" s="27">
        <v>96</v>
      </c>
      <c r="CX8" s="27">
        <v>97</v>
      </c>
      <c r="CY8" s="27">
        <v>98</v>
      </c>
      <c r="CZ8" s="27">
        <v>99</v>
      </c>
      <c r="DA8" s="27">
        <v>100</v>
      </c>
      <c r="DB8" s="27">
        <v>101</v>
      </c>
      <c r="DC8" s="27">
        <v>102</v>
      </c>
      <c r="DD8" s="27">
        <v>103</v>
      </c>
      <c r="DE8" s="27">
        <v>104</v>
      </c>
      <c r="DF8" s="27">
        <v>105</v>
      </c>
      <c r="DG8" s="27">
        <v>106</v>
      </c>
      <c r="DH8" s="27">
        <v>107</v>
      </c>
      <c r="DI8" s="27">
        <v>108</v>
      </c>
      <c r="DJ8" s="27">
        <v>109</v>
      </c>
      <c r="DK8" s="27">
        <v>110</v>
      </c>
      <c r="DL8" s="27">
        <v>111</v>
      </c>
      <c r="DM8" s="27">
        <v>112</v>
      </c>
      <c r="DN8" s="27">
        <v>113</v>
      </c>
      <c r="DO8" s="27">
        <v>114</v>
      </c>
      <c r="DP8" s="27">
        <v>115</v>
      </c>
      <c r="DQ8" s="27">
        <v>116</v>
      </c>
      <c r="DR8" s="27">
        <v>117</v>
      </c>
      <c r="DS8" s="27">
        <v>118</v>
      </c>
      <c r="DT8" s="27">
        <v>119</v>
      </c>
      <c r="DU8" s="27">
        <v>120</v>
      </c>
      <c r="DV8" s="27">
        <v>121</v>
      </c>
      <c r="DW8" s="27">
        <v>122</v>
      </c>
      <c r="DX8" s="27">
        <v>123</v>
      </c>
      <c r="DY8" s="27">
        <v>124</v>
      </c>
      <c r="DZ8" s="27">
        <v>125</v>
      </c>
      <c r="EA8" s="27">
        <v>126</v>
      </c>
      <c r="EB8" s="27">
        <v>127</v>
      </c>
      <c r="EC8" s="27">
        <v>128</v>
      </c>
      <c r="ED8" s="27">
        <v>129</v>
      </c>
      <c r="EE8" s="27">
        <v>130</v>
      </c>
      <c r="EF8" s="27">
        <v>131</v>
      </c>
      <c r="EG8" s="27">
        <v>132</v>
      </c>
      <c r="EH8" s="27">
        <v>133</v>
      </c>
      <c r="EI8" s="27">
        <v>134</v>
      </c>
      <c r="EJ8" s="27">
        <v>135</v>
      </c>
      <c r="EK8" s="27">
        <v>136</v>
      </c>
      <c r="EL8" s="27">
        <v>137</v>
      </c>
      <c r="EM8" s="27">
        <v>138</v>
      </c>
      <c r="EN8" s="27">
        <v>139</v>
      </c>
      <c r="EO8" s="27">
        <v>140</v>
      </c>
    </row>
    <row r="9" spans="1:150" ht="16.5" customHeight="1" x14ac:dyDescent="0.25">
      <c r="A9" s="36" t="s">
        <v>16</v>
      </c>
      <c r="B9" s="37" t="s">
        <v>17</v>
      </c>
      <c r="C9" s="38" t="s">
        <v>18</v>
      </c>
      <c r="D9" s="37"/>
      <c r="E9" s="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</row>
    <row r="10" spans="1:150" ht="16.5" customHeight="1" x14ac:dyDescent="0.25">
      <c r="A10" s="36"/>
      <c r="B10" s="37"/>
      <c r="C10" s="9"/>
      <c r="D10" s="7" t="s">
        <v>19</v>
      </c>
      <c r="E10" s="10" t="s">
        <v>20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>
        <v>0</v>
      </c>
      <c r="BH10" s="11"/>
      <c r="BI10" s="11"/>
      <c r="BJ10" s="11"/>
      <c r="BK10" s="11"/>
      <c r="BL10" s="11"/>
      <c r="BM10" s="11"/>
      <c r="BN10" s="11"/>
      <c r="BO10" s="11"/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</row>
    <row r="11" spans="1:150" ht="16.5" customHeight="1" x14ac:dyDescent="0.25">
      <c r="A11" s="12">
        <v>1</v>
      </c>
      <c r="B11" s="13" t="s">
        <v>21</v>
      </c>
      <c r="C11" s="13" t="s">
        <v>22</v>
      </c>
      <c r="D11" s="14">
        <f>COUNT(F11:EO11)</f>
        <v>0</v>
      </c>
      <c r="E11" s="15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</row>
    <row r="12" spans="1:150" ht="16.5" customHeight="1" x14ac:dyDescent="0.25">
      <c r="A12" s="12">
        <v>2</v>
      </c>
      <c r="B12" s="13" t="s">
        <v>23</v>
      </c>
      <c r="C12" s="13" t="s">
        <v>24</v>
      </c>
      <c r="D12" s="14">
        <f t="shared" ref="D12:D28" si="0">COUNT(F12:EO12)</f>
        <v>21</v>
      </c>
      <c r="E12" s="15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/>
      <c r="BR12" s="11"/>
      <c r="BS12" s="11"/>
      <c r="BT12" s="11"/>
      <c r="BU12" s="11"/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</row>
    <row r="13" spans="1:150" ht="16.5" customHeight="1" x14ac:dyDescent="0.25">
      <c r="A13" s="12">
        <v>3</v>
      </c>
      <c r="B13" s="13" t="s">
        <v>25</v>
      </c>
      <c r="C13" s="13" t="s">
        <v>26</v>
      </c>
      <c r="D13" s="14">
        <f t="shared" si="0"/>
        <v>33</v>
      </c>
      <c r="E13" s="15"/>
      <c r="F13" s="11"/>
      <c r="G13" s="11"/>
      <c r="H13" s="11"/>
      <c r="I13" s="11"/>
      <c r="J13" s="11"/>
      <c r="K13" s="11"/>
      <c r="L13" s="11"/>
      <c r="M13" s="11">
        <v>0</v>
      </c>
      <c r="N13" s="11">
        <v>0</v>
      </c>
      <c r="O13" s="11">
        <v>0</v>
      </c>
      <c r="P13" s="11">
        <v>0</v>
      </c>
      <c r="Q13" s="11"/>
      <c r="R13" s="11"/>
      <c r="S13" s="11"/>
      <c r="T13" s="11"/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/>
      <c r="BZ13" s="11">
        <v>0</v>
      </c>
      <c r="CA13" s="11">
        <v>0</v>
      </c>
      <c r="CB13" s="11">
        <v>0</v>
      </c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S13" s="16"/>
      <c r="ET13" s="1" t="s">
        <v>27</v>
      </c>
    </row>
    <row r="14" spans="1:150" ht="16.5" customHeight="1" x14ac:dyDescent="0.25">
      <c r="A14" s="12">
        <v>4</v>
      </c>
      <c r="B14" s="13" t="s">
        <v>28</v>
      </c>
      <c r="C14" s="17" t="s">
        <v>29</v>
      </c>
      <c r="D14" s="14">
        <f t="shared" si="0"/>
        <v>20</v>
      </c>
      <c r="E14" s="15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>
        <v>0</v>
      </c>
      <c r="Z14" s="11">
        <v>0</v>
      </c>
      <c r="AA14" s="11">
        <v>0</v>
      </c>
      <c r="AB14" s="11">
        <v>0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>
        <v>0</v>
      </c>
      <c r="BH14" s="11"/>
      <c r="BI14" s="11"/>
      <c r="BJ14" s="11"/>
      <c r="BK14" s="11"/>
      <c r="BL14" s="11"/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/>
      <c r="BZ14" s="11">
        <v>0</v>
      </c>
      <c r="CA14" s="11">
        <v>0</v>
      </c>
      <c r="CB14" s="11">
        <v>0</v>
      </c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</row>
    <row r="15" spans="1:150" ht="16.5" customHeight="1" x14ac:dyDescent="0.25">
      <c r="A15" s="12">
        <v>5</v>
      </c>
      <c r="B15" s="13" t="s">
        <v>30</v>
      </c>
      <c r="C15" s="13" t="s">
        <v>31</v>
      </c>
      <c r="D15" s="14">
        <f t="shared" si="0"/>
        <v>22</v>
      </c>
      <c r="E15" s="15"/>
      <c r="F15" s="11"/>
      <c r="G15" s="11"/>
      <c r="H15" s="11"/>
      <c r="I15" s="11"/>
      <c r="J15" s="11"/>
      <c r="K15" s="11"/>
      <c r="L15" s="11"/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/>
      <c r="S15" s="11"/>
      <c r="T15" s="11"/>
      <c r="U15" s="11"/>
      <c r="V15" s="11"/>
      <c r="W15" s="11"/>
      <c r="X15" s="11"/>
      <c r="Y15" s="11">
        <v>0</v>
      </c>
      <c r="Z15" s="11">
        <v>0</v>
      </c>
      <c r="AA15" s="11">
        <v>0</v>
      </c>
      <c r="AB15" s="11">
        <v>0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>
        <v>0</v>
      </c>
      <c r="BH15" s="11"/>
      <c r="BI15" s="11"/>
      <c r="BJ15" s="11"/>
      <c r="BK15" s="11"/>
      <c r="BL15" s="11"/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</row>
    <row r="16" spans="1:150" ht="16.5" customHeight="1" x14ac:dyDescent="0.25">
      <c r="A16" s="12">
        <v>6</v>
      </c>
      <c r="B16" s="13" t="s">
        <v>32</v>
      </c>
      <c r="C16" s="13" t="s">
        <v>33</v>
      </c>
      <c r="D16" s="14">
        <f t="shared" si="0"/>
        <v>17</v>
      </c>
      <c r="E16" s="15"/>
      <c r="F16" s="11"/>
      <c r="G16" s="11"/>
      <c r="H16" s="11"/>
      <c r="I16" s="11"/>
      <c r="J16" s="11"/>
      <c r="K16" s="11"/>
      <c r="L16" s="11"/>
      <c r="M16" s="11">
        <v>0</v>
      </c>
      <c r="N16" s="11">
        <v>0</v>
      </c>
      <c r="O16" s="11">
        <v>0</v>
      </c>
      <c r="P16" s="11">
        <v>0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>
        <v>0</v>
      </c>
      <c r="BH16" s="11"/>
      <c r="BI16" s="11"/>
      <c r="BJ16" s="11"/>
      <c r="BK16" s="11"/>
      <c r="BL16" s="11"/>
      <c r="BM16" s="11"/>
      <c r="BN16" s="11"/>
      <c r="BO16" s="11"/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/>
      <c r="BZ16" s="11">
        <v>0</v>
      </c>
      <c r="CA16" s="11">
        <v>0</v>
      </c>
      <c r="CB16" s="11">
        <v>0</v>
      </c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</row>
    <row r="17" spans="1:145" ht="16.5" customHeight="1" x14ac:dyDescent="0.25">
      <c r="A17" s="12">
        <v>7</v>
      </c>
      <c r="B17" s="13" t="s">
        <v>34</v>
      </c>
      <c r="C17" s="13" t="s">
        <v>35</v>
      </c>
      <c r="D17" s="14">
        <f t="shared" si="0"/>
        <v>30</v>
      </c>
      <c r="E17" s="15"/>
      <c r="F17" s="11">
        <v>0</v>
      </c>
      <c r="G17" s="11">
        <v>0</v>
      </c>
      <c r="H17" s="11"/>
      <c r="I17" s="11"/>
      <c r="J17" s="11"/>
      <c r="K17" s="11"/>
      <c r="L17" s="11"/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53" t="s">
        <v>57</v>
      </c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5"/>
    </row>
    <row r="18" spans="1:145" ht="16.5" customHeight="1" x14ac:dyDescent="0.25">
      <c r="A18" s="12">
        <v>8</v>
      </c>
      <c r="B18" s="13" t="s">
        <v>28</v>
      </c>
      <c r="C18" s="13" t="s">
        <v>36</v>
      </c>
      <c r="D18" s="14">
        <f t="shared" si="0"/>
        <v>12</v>
      </c>
      <c r="E18" s="1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>
        <v>0</v>
      </c>
      <c r="BH18" s="11"/>
      <c r="BI18" s="11"/>
      <c r="BJ18" s="11"/>
      <c r="BK18" s="11"/>
      <c r="BL18" s="11"/>
      <c r="BM18" s="11">
        <v>0</v>
      </c>
      <c r="BN18" s="11">
        <v>0</v>
      </c>
      <c r="BO18" s="11">
        <v>0</v>
      </c>
      <c r="BP18" s="11"/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</row>
    <row r="19" spans="1:145" ht="16.5" customHeight="1" x14ac:dyDescent="0.25">
      <c r="A19" s="12">
        <v>9</v>
      </c>
      <c r="B19" s="13" t="s">
        <v>28</v>
      </c>
      <c r="C19" s="13" t="s">
        <v>37</v>
      </c>
      <c r="D19" s="14">
        <f t="shared" si="0"/>
        <v>22</v>
      </c>
      <c r="E19" s="1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0</v>
      </c>
      <c r="Z19" s="11">
        <v>0</v>
      </c>
      <c r="AA19" s="11">
        <v>0</v>
      </c>
      <c r="AB19" s="11">
        <v>0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</row>
    <row r="20" spans="1:145" ht="16.5" customHeight="1" x14ac:dyDescent="0.25">
      <c r="A20" s="12">
        <v>10</v>
      </c>
      <c r="B20" s="13" t="s">
        <v>28</v>
      </c>
      <c r="C20" s="13" t="s">
        <v>38</v>
      </c>
      <c r="D20" s="14">
        <f t="shared" si="0"/>
        <v>7</v>
      </c>
      <c r="E20" s="1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/>
      <c r="BN20" s="11"/>
      <c r="BO20" s="11"/>
      <c r="BP20" s="11">
        <v>0</v>
      </c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>
        <v>0</v>
      </c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</row>
    <row r="21" spans="1:145" ht="16.5" customHeight="1" x14ac:dyDescent="0.25">
      <c r="A21" s="12">
        <v>11</v>
      </c>
      <c r="B21" s="13" t="s">
        <v>39</v>
      </c>
      <c r="C21" s="13" t="s">
        <v>40</v>
      </c>
      <c r="D21" s="14">
        <f t="shared" si="0"/>
        <v>64</v>
      </c>
      <c r="E21" s="15"/>
      <c r="F21" s="11"/>
      <c r="G21" s="11"/>
      <c r="H21" s="11"/>
      <c r="I21" s="11"/>
      <c r="J21" s="11"/>
      <c r="K21" s="11"/>
      <c r="L21" s="11"/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</row>
    <row r="22" spans="1:145" ht="16.5" customHeight="1" x14ac:dyDescent="0.25">
      <c r="A22" s="12">
        <v>12</v>
      </c>
      <c r="B22" s="17" t="s">
        <v>41</v>
      </c>
      <c r="C22" s="13" t="s">
        <v>42</v>
      </c>
      <c r="D22" s="14">
        <f t="shared" si="0"/>
        <v>30</v>
      </c>
      <c r="E22" s="15"/>
      <c r="F22" s="11"/>
      <c r="G22" s="11"/>
      <c r="H22" s="11"/>
      <c r="I22" s="11"/>
      <c r="J22" s="11"/>
      <c r="K22" s="11"/>
      <c r="L22" s="11"/>
      <c r="M22" s="11">
        <v>0</v>
      </c>
      <c r="N22" s="11">
        <v>0</v>
      </c>
      <c r="O22" s="11">
        <v>0</v>
      </c>
      <c r="P22" s="11">
        <v>0</v>
      </c>
      <c r="Q22" s="11"/>
      <c r="R22" s="11"/>
      <c r="S22" s="11"/>
      <c r="T22" s="11"/>
      <c r="U22" s="11"/>
      <c r="V22" s="11"/>
      <c r="W22" s="11"/>
      <c r="X22" s="11"/>
      <c r="Y22" s="11">
        <v>0</v>
      </c>
      <c r="Z22" s="11">
        <v>0</v>
      </c>
      <c r="AA22" s="11">
        <v>0</v>
      </c>
      <c r="AB22" s="11">
        <v>0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</row>
    <row r="23" spans="1:145" ht="16.5" customHeight="1" x14ac:dyDescent="0.25">
      <c r="A23" s="12">
        <v>13</v>
      </c>
      <c r="B23" s="13" t="s">
        <v>43</v>
      </c>
      <c r="C23" s="13" t="s">
        <v>44</v>
      </c>
      <c r="D23" s="14">
        <f t="shared" si="0"/>
        <v>66</v>
      </c>
      <c r="E23" s="15"/>
      <c r="F23" s="11">
        <v>0</v>
      </c>
      <c r="G23" s="11">
        <v>0</v>
      </c>
      <c r="H23" s="11"/>
      <c r="I23" s="11"/>
      <c r="J23" s="11"/>
      <c r="K23" s="11"/>
      <c r="L23" s="11"/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</row>
    <row r="24" spans="1:145" ht="16.5" customHeight="1" x14ac:dyDescent="0.25">
      <c r="A24" s="12">
        <v>14</v>
      </c>
      <c r="B24" s="13" t="s">
        <v>45</v>
      </c>
      <c r="C24" s="13" t="s">
        <v>46</v>
      </c>
      <c r="D24" s="14">
        <f t="shared" si="0"/>
        <v>27</v>
      </c>
      <c r="E24" s="15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/>
      <c r="BN24" s="11"/>
      <c r="BO24" s="11"/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</row>
    <row r="25" spans="1:145" ht="16.5" customHeight="1" x14ac:dyDescent="0.25">
      <c r="A25" s="12">
        <v>15</v>
      </c>
      <c r="B25" s="13" t="s">
        <v>47</v>
      </c>
      <c r="C25" s="13" t="s">
        <v>48</v>
      </c>
      <c r="D25" s="14">
        <f t="shared" si="0"/>
        <v>35</v>
      </c>
      <c r="E25" s="15"/>
      <c r="F25" s="11"/>
      <c r="G25" s="11"/>
      <c r="H25" s="11"/>
      <c r="I25" s="11"/>
      <c r="J25" s="11"/>
      <c r="K25" s="11"/>
      <c r="L25" s="11"/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</row>
    <row r="26" spans="1:145" ht="16.5" customHeight="1" x14ac:dyDescent="0.25">
      <c r="A26" s="12">
        <v>16</v>
      </c>
      <c r="B26" s="13" t="s">
        <v>49</v>
      </c>
      <c r="C26" s="13" t="s">
        <v>50</v>
      </c>
      <c r="D26" s="14">
        <f t="shared" si="0"/>
        <v>30</v>
      </c>
      <c r="E26" s="15"/>
      <c r="F26" s="11"/>
      <c r="G26" s="11"/>
      <c r="H26" s="11"/>
      <c r="I26" s="11"/>
      <c r="J26" s="11"/>
      <c r="K26" s="11"/>
      <c r="L26" s="11"/>
      <c r="M26" s="11">
        <v>0</v>
      </c>
      <c r="N26" s="11">
        <v>0</v>
      </c>
      <c r="O26" s="11">
        <v>0</v>
      </c>
      <c r="P26" s="11">
        <v>0</v>
      </c>
      <c r="Q26" s="11"/>
      <c r="R26" s="11"/>
      <c r="S26" s="11"/>
      <c r="T26" s="11"/>
      <c r="U26" s="11"/>
      <c r="V26" s="11"/>
      <c r="W26" s="11"/>
      <c r="X26" s="11"/>
      <c r="Y26" s="11">
        <v>0</v>
      </c>
      <c r="Z26" s="11">
        <v>0</v>
      </c>
      <c r="AA26" s="11">
        <v>0</v>
      </c>
      <c r="AB26" s="11">
        <v>0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</row>
    <row r="27" spans="1:145" ht="16.5" customHeight="1" x14ac:dyDescent="0.25">
      <c r="A27" s="12">
        <v>17</v>
      </c>
      <c r="B27" s="13" t="s">
        <v>51</v>
      </c>
      <c r="C27" s="13" t="s">
        <v>52</v>
      </c>
      <c r="D27" s="14">
        <f t="shared" si="0"/>
        <v>65</v>
      </c>
      <c r="E27" s="18"/>
      <c r="F27" s="11"/>
      <c r="G27" s="11"/>
      <c r="H27" s="11"/>
      <c r="I27" s="11"/>
      <c r="J27" s="11"/>
      <c r="K27" s="11"/>
      <c r="L27" s="11"/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</row>
    <row r="28" spans="1:145" ht="16.5" customHeight="1" x14ac:dyDescent="0.25">
      <c r="A28" s="12">
        <v>18</v>
      </c>
      <c r="B28" s="13" t="s">
        <v>53</v>
      </c>
      <c r="C28" s="13" t="s">
        <v>54</v>
      </c>
      <c r="D28" s="19">
        <f t="shared" si="0"/>
        <v>0</v>
      </c>
      <c r="E28" s="29" t="s">
        <v>55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</row>
    <row r="31" spans="1:145" ht="16.5" customHeight="1" x14ac:dyDescent="0.25">
      <c r="CN31" s="1" t="s">
        <v>56</v>
      </c>
    </row>
  </sheetData>
  <mergeCells count="318">
    <mergeCell ref="AO17:EO17"/>
    <mergeCell ref="A1:A2"/>
    <mergeCell ref="B1:D2"/>
    <mergeCell ref="F1:I1"/>
    <mergeCell ref="J1:L1"/>
    <mergeCell ref="M1:P1"/>
    <mergeCell ref="Q1:T1"/>
    <mergeCell ref="U1:X1"/>
    <mergeCell ref="Y1:AB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BM1:BO1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BN2:BN7"/>
    <mergeCell ref="BO2:BO7"/>
    <mergeCell ref="BP2:BP7"/>
    <mergeCell ref="BQ2:BQ7"/>
    <mergeCell ref="BR2:BR7"/>
    <mergeCell ref="BS2:BS7"/>
    <mergeCell ref="BT2:BT7"/>
    <mergeCell ref="BU2:BU7"/>
    <mergeCell ref="BV2:BV7"/>
    <mergeCell ref="BW2:BW7"/>
    <mergeCell ref="BX2:BX7"/>
    <mergeCell ref="BY2:BY7"/>
    <mergeCell ref="BZ2:BZ7"/>
    <mergeCell ref="CA2:CA7"/>
    <mergeCell ref="CB2:CB7"/>
    <mergeCell ref="CC2:CC7"/>
    <mergeCell ref="CD2:CD7"/>
    <mergeCell ref="CE2:CE7"/>
    <mergeCell ref="CF2:CF7"/>
    <mergeCell ref="CG2:CG7"/>
    <mergeCell ref="CH2:CH7"/>
    <mergeCell ref="CI2:CI7"/>
    <mergeCell ref="CJ2:CJ7"/>
    <mergeCell ref="CK2:CK7"/>
    <mergeCell ref="CL2:CL7"/>
    <mergeCell ref="CM2:CM7"/>
    <mergeCell ref="CN2:CN7"/>
    <mergeCell ref="CO2:CO7"/>
    <mergeCell ref="CP2:CP7"/>
    <mergeCell ref="CQ2:CQ7"/>
    <mergeCell ref="CR2:CR7"/>
    <mergeCell ref="CS2:CS7"/>
    <mergeCell ref="CT2:CT7"/>
    <mergeCell ref="CU2:CU7"/>
    <mergeCell ref="CV2:CV7"/>
    <mergeCell ref="CW2:CW7"/>
    <mergeCell ref="CX2:CX7"/>
    <mergeCell ref="CY2:CY7"/>
    <mergeCell ref="CZ2:CZ7"/>
    <mergeCell ref="DA2:DA7"/>
    <mergeCell ref="DB2:DB7"/>
    <mergeCell ref="DC2:DC7"/>
    <mergeCell ref="DD2:DD7"/>
    <mergeCell ref="DE2:DE7"/>
    <mergeCell ref="DF2:DF7"/>
    <mergeCell ref="DG2:DG7"/>
    <mergeCell ref="DH2:DH7"/>
    <mergeCell ref="DI2:DI7"/>
    <mergeCell ref="DJ2:DJ7"/>
    <mergeCell ref="DK2:DK7"/>
    <mergeCell ref="DL2:DL7"/>
    <mergeCell ref="DM2:DM7"/>
    <mergeCell ref="DN2:DN7"/>
    <mergeCell ref="DO2:DO7"/>
    <mergeCell ref="EF2:EF7"/>
    <mergeCell ref="EG2:EG7"/>
    <mergeCell ref="DP2:DP7"/>
    <mergeCell ref="DQ2:DQ7"/>
    <mergeCell ref="DR2:DR7"/>
    <mergeCell ref="DS2:DS7"/>
    <mergeCell ref="DT2:DT7"/>
    <mergeCell ref="DU2:DU7"/>
    <mergeCell ref="DV2:DV7"/>
    <mergeCell ref="DW2:DW7"/>
    <mergeCell ref="DX2:DX7"/>
    <mergeCell ref="EH2:EH7"/>
    <mergeCell ref="EI2:EI7"/>
    <mergeCell ref="EJ2:EJ7"/>
    <mergeCell ref="EK2:EK7"/>
    <mergeCell ref="EL2:EL7"/>
    <mergeCell ref="EM2:EM7"/>
    <mergeCell ref="EN2:EN7"/>
    <mergeCell ref="EO2:EO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DY2:DY7"/>
    <mergeCell ref="DZ2:DZ7"/>
    <mergeCell ref="EA2:EA7"/>
    <mergeCell ref="EB2:EB7"/>
    <mergeCell ref="EC2:EC7"/>
    <mergeCell ref="ED2:ED7"/>
    <mergeCell ref="EE2:EE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A9:A10"/>
    <mergeCell ref="B9:B10"/>
    <mergeCell ref="C9: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CN8:CN9"/>
    <mergeCell ref="CO8:CO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ED8:ED9"/>
    <mergeCell ref="BH1:BL1"/>
    <mergeCell ref="EE8:EE9"/>
    <mergeCell ref="DD8:DD9"/>
    <mergeCell ref="DE8:DE9"/>
    <mergeCell ref="DF8:DF9"/>
    <mergeCell ref="DG8:DG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DC8:DC9"/>
    <mergeCell ref="CG8:CG9"/>
    <mergeCell ref="CH8:CH9"/>
    <mergeCell ref="CI8:CI9"/>
    <mergeCell ref="CJ8:CJ9"/>
    <mergeCell ref="CK8:CK9"/>
    <mergeCell ref="CL8:CL9"/>
    <mergeCell ref="CM8:CM9"/>
    <mergeCell ref="DA8:DA9"/>
    <mergeCell ref="DB8:DB9"/>
    <mergeCell ref="E28:EO28"/>
    <mergeCell ref="AC1:AD1"/>
    <mergeCell ref="AE1:AH1"/>
    <mergeCell ref="AI1:AL1"/>
    <mergeCell ref="AM1:AN1"/>
    <mergeCell ref="AO1:AR1"/>
    <mergeCell ref="AS1:AW1"/>
    <mergeCell ref="AY1:BC1"/>
    <mergeCell ref="BD1:BF1"/>
    <mergeCell ref="EI8:EI9"/>
    <mergeCell ref="EJ8:EJ9"/>
    <mergeCell ref="EK8:EK9"/>
    <mergeCell ref="EL8:EL9"/>
    <mergeCell ref="EM8:EM9"/>
    <mergeCell ref="EN8:EN9"/>
    <mergeCell ref="EO8:EO9"/>
    <mergeCell ref="EF8:EF9"/>
    <mergeCell ref="EG8:EG9"/>
    <mergeCell ref="DZ8:DZ9"/>
    <mergeCell ref="EA8:EA9"/>
    <mergeCell ref="EB8:EB9"/>
    <mergeCell ref="EC8:EC9"/>
    <mergeCell ref="BZ1:CB1"/>
    <mergeCell ref="BQ1:BU1"/>
    <mergeCell ref="BV1:BX1"/>
    <mergeCell ref="EH8:EH9"/>
    <mergeCell ref="DN8:DN9"/>
    <mergeCell ref="DO8:DO9"/>
    <mergeCell ref="DP8:DP9"/>
    <mergeCell ref="CY8:CY9"/>
    <mergeCell ref="CZ8:CZ9"/>
    <mergeCell ref="DH8:DH9"/>
    <mergeCell ref="DI8:DI9"/>
    <mergeCell ref="DJ8:DJ9"/>
    <mergeCell ref="DK8:DK9"/>
    <mergeCell ref="DL8:DL9"/>
    <mergeCell ref="DM8:DM9"/>
    <mergeCell ref="DQ8:DQ9"/>
    <mergeCell ref="DR8:DR9"/>
    <mergeCell ref="DS8:DS9"/>
    <mergeCell ref="DT8:DT9"/>
    <mergeCell ref="DU8:DU9"/>
    <mergeCell ref="DV8:DV9"/>
    <mergeCell ref="DW8:DW9"/>
    <mergeCell ref="DX8:DX9"/>
    <mergeCell ref="DY8:DY9"/>
  </mergeCells>
  <pageMargins left="0.7" right="0.7" top="0.75" bottom="0.75" header="0.3" footer="0.3"/>
  <pageSetup paperSize="9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301 ინტეგრირებული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ლილი კაცაძე</cp:lastModifiedBy>
  <cp:revision>115</cp:revision>
  <dcterms:created xsi:type="dcterms:W3CDTF">2015-06-05T18:17:20Z</dcterms:created>
  <dcterms:modified xsi:type="dcterms:W3CDTF">2026-09-25T13:44:03Z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2b3a5-926f-4111-8eea-9c5318b8762f_Enabled">
    <vt:lpwstr>true</vt:lpwstr>
  </property>
  <property fmtid="{D5CDD505-2E9C-101B-9397-08002B2CF9AE}" pid="3" name="MSIP_Label_cdd2b3a5-926f-4111-8eea-9c5318b8762f_SetDate">
    <vt:lpwstr>2026-06-08T11:10:06Z</vt:lpwstr>
  </property>
  <property fmtid="{D5CDD505-2E9C-101B-9397-08002B2CF9AE}" pid="4" name="MSIP_Label_cdd2b3a5-926f-4111-8eea-9c5318b8762f_Method">
    <vt:lpwstr>Standard</vt:lpwstr>
  </property>
  <property fmtid="{D5CDD505-2E9C-101B-9397-08002B2CF9AE}" pid="5" name="MSIP_Label_cdd2b3a5-926f-4111-8eea-9c5318b8762f_Name">
    <vt:lpwstr>defa4170-0d19-0005-0004-bc88714345d2</vt:lpwstr>
  </property>
  <property fmtid="{D5CDD505-2E9C-101B-9397-08002B2CF9AE}" pid="6" name="MSIP_Label_cdd2b3a5-926f-4111-8eea-9c5318b8762f_SiteId">
    <vt:lpwstr>61d2e93c-423d-43b4-8f23-1580c2341952</vt:lpwstr>
  </property>
  <property fmtid="{D5CDD505-2E9C-101B-9397-08002B2CF9AE}" pid="7" name="MSIP_Label_cdd2b3a5-926f-4111-8eea-9c5318b8762f_ActionId">
    <vt:lpwstr>491a7fa2-3b01-4209-ac7d-4f5789beb535</vt:lpwstr>
  </property>
  <property fmtid="{D5CDD505-2E9C-101B-9397-08002B2CF9AE}" pid="8" name="MSIP_Label_cdd2b3a5-926f-4111-8eea-9c5318b8762f_ContentBits">
    <vt:lpwstr>0</vt:lpwstr>
  </property>
  <property fmtid="{D5CDD505-2E9C-101B-9397-08002B2CF9AE}" pid="9" name="MSIP_Label_cdd2b3a5-926f-4111-8eea-9c5318b8762f_Tag">
    <vt:lpwstr>10, 3, 0, 1</vt:lpwstr>
  </property>
</Properties>
</file>