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<sst xmlns="http://schemas.openxmlformats.org/spreadsheetml/2006/main" count="60" uniqueCount="60">
  <si>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</si>
  <si>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</si>
  <si>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</si>
  <si>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>05.10.2026</t>
  </si>
  <si>
    <t>08.10.2026</t>
  </si>
  <si>
    <t>09.10.2026</t>
  </si>
  <si>
    <t>12.10.2026</t>
  </si>
  <si>
    <t>15.10.2026</t>
  </si>
  <si>
    <t>16.10.2026</t>
  </si>
  <si>
    <t>19.10.2026</t>
  </si>
  <si>
    <t>20.10/2026</t>
  </si>
  <si>
    <t xml:space="preserve">მოდული:  ვერსიების კონტროლი git ტექნოლოგიის გამოყენებით; N 06.1.1.7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</si>
  <si>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</si>
  <si>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</si>
  <si>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</si>
  <si>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</si>
  <si>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</si>
  <si>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</si>
  <si>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</si>
  <si>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</si>
  <si>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</si>
  <si>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</si>
  <si>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</si>
  <si>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</si>
  <si>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</si>
  <si>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</si>
  <si>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</si>
  <si>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</si>
  <si>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</si>
  <si>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</si>
  <si>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</si>
  <si>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</si>
  <si>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</si>
  <si>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</si>
  <si>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</si>
  <si>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</si>
  <si>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</si>
  <si>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</si>
  <si>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t xml:space="preserve">სტატუსი შეუწყდა 09.07.2026-დან</t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</si>
  <si>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</si>
  <si>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</si>
  <si>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</si>
  <si>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</si>
  <si>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</si>
  <si>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 xml:space="preserve">სტატუსი შეუწყდა</t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</si>
  <si>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</si>
  <si>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</si>
  <si>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</si>
  <si>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</si>
  <si>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</si>
  <si>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</si>
  <si>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</si>
  <si>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</si>
  <si>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</si>
  <si>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</si>
  <si>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</si>
  <si>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</si>
  <si>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</si>
  <si>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</si>
  <si>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 xml:space="preserve">სტატუსი შეუწყდა 2025 წლის 17 ოქტომბირდან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</si>
</sst>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.00_);_(* \(#,##0.00\);_(* &quot;-&quot;??_);_(@_)"/>
  </numFmts>
  <fonts count="10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11.000000"/>
      <color indexed="63"/>
      <name val="Sylfaen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/>
      </patternFill>
    </fill>
    <fill>
      <patternFill patternType="solid">
        <fgColor rgb="FF92D050"/>
        <bgColor rgb="FF92D050"/>
      </patternFill>
    </fill>
    <fill>
      <patternFill patternType="solid">
        <fgColor indexed="2"/>
        <bgColor indexed="2"/>
      </patternFill>
    </fill>
  </fills>
  <borders count="15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60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2" numFmtId="0" xfId="0" applyFont="1" applyFill="1" applyBorder="1" applyAlignment="1">
      <alignment horizontal="left" vertical="center" wrapText="1"/>
    </xf>
    <xf fontId="2" fillId="2" borderId="3" numFmtId="0" xfId="0" applyFont="1" applyFill="1" applyBorder="1" applyAlignment="1">
      <alignment horizontal="left" vertical="center" wrapText="1"/>
    </xf>
    <xf fontId="0" fillId="2" borderId="4" numFmtId="0" xfId="0" applyFill="1" applyBorder="1" applyAlignment="1">
      <alignment horizontal="center"/>
    </xf>
    <xf fontId="0" fillId="2" borderId="5" numFmtId="0" xfId="0" applyFill="1" applyBorder="1" applyAlignment="1">
      <alignment horizontal="center"/>
    </xf>
    <xf fontId="0" fillId="2" borderId="6" numFmtId="0" xfId="0" applyFill="1" applyBorder="1" applyAlignment="1">
      <alignment horizontal="center"/>
    </xf>
    <xf fontId="0" fillId="2" borderId="7" numFmtId="0" xfId="0" applyFill="1" applyBorder="1" applyAlignment="1">
      <alignment horizontal="center"/>
    </xf>
    <xf fontId="0" fillId="2" borderId="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3" borderId="6" numFmtId="0" xfId="0" applyFill="1" applyBorder="1" applyAlignment="1">
      <alignment horizontal="center"/>
    </xf>
    <xf fontId="0" fillId="3" borderId="8" numFmtId="0" xfId="0" applyFill="1" applyBorder="1" applyAlignment="1">
      <alignment horizontal="center"/>
    </xf>
    <xf fontId="0" fillId="3" borderId="7" numFmtId="0" xfId="0" applyFill="1" applyBorder="1" applyAlignment="1">
      <alignment horizontal="center"/>
    </xf>
    <xf fontId="0" fillId="2" borderId="1" numFmtId="0" xfId="0" applyFill="1" applyBorder="1"/>
    <xf fontId="2" fillId="2" borderId="9" numFmtId="0" xfId="0" applyFont="1" applyFill="1" applyBorder="1" applyAlignment="1">
      <alignment horizontal="left" vertical="center" wrapText="1"/>
    </xf>
    <xf fontId="2" fillId="2" borderId="10" numFmtId="0" xfId="0" applyFont="1" applyFill="1" applyBorder="1" applyAlignment="1">
      <alignment horizontal="left" vertical="center" wrapText="1"/>
    </xf>
    <xf fontId="1" fillId="2" borderId="11" numFmtId="0" xfId="0" applyFont="1" applyFill="1" applyBorder="1" applyAlignment="1">
      <alignment horizontal="center" textRotation="90" vertical="center"/>
    </xf>
    <xf fontId="3" fillId="2" borderId="12" numFmtId="14" xfId="0" applyNumberFormat="1" applyFont="1" applyFill="1" applyBorder="1" applyAlignment="1">
      <alignment horizontal="center" textRotation="90" vertical="center"/>
    </xf>
    <xf fontId="3" fillId="4" borderId="12" numFmtId="14" xfId="0" applyNumberFormat="1" applyFont="1" applyFill="1" applyBorder="1" applyAlignment="1">
      <alignment horizontal="center" textRotation="90" vertical="center"/>
    </xf>
    <xf fontId="3" fillId="5" borderId="12" numFmtId="14" xfId="0" applyNumberFormat="1" applyFont="1" applyFill="1" applyBorder="1" applyAlignment="1">
      <alignment horizontal="center" textRotation="90" vertical="center"/>
    </xf>
    <xf fontId="3" fillId="6" borderId="12" numFmtId="14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left" vertical="center" wrapText="1"/>
    </xf>
    <xf fontId="1" fillId="2" borderId="12" numFmtId="0" xfId="0" applyFont="1" applyFill="1" applyBorder="1" applyAlignment="1">
      <alignment horizontal="center" textRotation="90" vertical="center"/>
    </xf>
    <xf fontId="1" fillId="2" borderId="8" numFmtId="0" xfId="0" applyFont="1" applyFill="1" applyBorder="1" applyAlignment="1">
      <alignment horizontal="center" vertical="center"/>
    </xf>
    <xf fontId="1" fillId="2" borderId="7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6" numFmtId="0" xfId="0" applyFont="1" applyFill="1" applyBorder="1" applyAlignment="1">
      <alignment horizontal="center"/>
    </xf>
    <xf fontId="1" fillId="2" borderId="7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1" fillId="2" borderId="13" numFmtId="0" xfId="0" applyFont="1" applyFill="1" applyBorder="1" applyAlignment="1">
      <alignment horizontal="center" textRotation="90" vertical="center"/>
    </xf>
    <xf fontId="3" fillId="2" borderId="13" numFmtId="14" xfId="0" applyNumberFormat="1" applyFont="1" applyFill="1" applyBorder="1" applyAlignment="1">
      <alignment horizontal="center" textRotation="90" vertical="center"/>
    </xf>
    <xf fontId="3" fillId="4" borderId="13" numFmtId="14" xfId="0" applyNumberFormat="1" applyFont="1" applyFill="1" applyBorder="1" applyAlignment="1">
      <alignment horizontal="center" textRotation="90" vertical="center"/>
    </xf>
    <xf fontId="3" fillId="5" borderId="13" numFmtId="14" xfId="0" applyNumberFormat="1" applyFont="1" applyFill="1" applyBorder="1" applyAlignment="1">
      <alignment horizontal="center" textRotation="90" vertical="center"/>
    </xf>
    <xf fontId="3" fillId="6" borderId="13" numFmtId="14" xfId="0" applyNumberFormat="1" applyFont="1" applyFill="1" applyBorder="1" applyAlignment="1">
      <alignment horizontal="center" textRotation="90" vertical="center"/>
    </xf>
    <xf fontId="4" fillId="2" borderId="1" numFmtId="0" xfId="0" applyFont="1" applyFill="1" applyBorder="1" applyAlignment="1">
      <alignment horizontal="left" wrapText="1"/>
    </xf>
    <xf fontId="1" fillId="2" borderId="6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1" fillId="2" borderId="11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7" numFmtId="0" xfId="0" applyFont="1" applyFill="1" applyBorder="1" applyAlignment="1">
      <alignment horizontal="center" vertical="center" wrapText="1"/>
    </xf>
    <xf fontId="5" fillId="2" borderId="13" numFmtId="0" xfId="0" applyFont="1" applyFill="1" applyBorder="1" applyAlignment="1">
      <alignment horizontal="center" textRotation="90" vertical="center" wrapText="1"/>
    </xf>
    <xf fontId="1" fillId="2" borderId="13" numFmtId="0" xfId="0" applyFont="1" applyFill="1" applyBorder="1" applyAlignment="1">
      <alignment horizontal="center" vertical="center"/>
    </xf>
    <xf fontId="4" fillId="2" borderId="10" numFmtId="0" xfId="0" applyFont="1" applyFill="1" applyBorder="1" applyAlignment="1">
      <alignment horizontal="center" vertical="center" wrapText="1"/>
    </xf>
    <xf fontId="4" fillId="2" borderId="6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1" fillId="2" borderId="1" numFmtId="0" xfId="0" applyFont="1" applyFill="1" applyBorder="1" applyAlignment="1">
      <alignment horizontal="center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0" fillId="6" borderId="0" numFmtId="0" xfId="0" applyFill="1"/>
    <xf fontId="9" fillId="2" borderId="1" numFmtId="0" xfId="0" applyFont="1" applyFill="1" applyBorder="1" applyAlignment="1">
      <alignment vertical="top" wrapText="1"/>
    </xf>
    <xf fontId="6" fillId="2" borderId="6" numFmtId="0" xfId="0" applyFont="1" applyFill="1" applyBorder="1" applyAlignment="1">
      <alignment horizontal="center" vertical="center" wrapText="1"/>
    </xf>
    <xf fontId="6" fillId="2" borderId="8" numFmtId="0" xfId="0" applyFont="1" applyFill="1" applyBorder="1" applyAlignment="1">
      <alignment horizontal="center" vertical="center" wrapText="1"/>
    </xf>
    <xf fontId="6" fillId="2" borderId="7" numFmtId="0" xfId="0" applyFont="1" applyFill="1" applyBorder="1" applyAlignment="1">
      <alignment horizontal="center" vertical="center" wrapText="1"/>
    </xf>
    <xf fontId="8" fillId="2" borderId="11" numFmtId="164" xfId="1" applyNumberFormat="1" applyFont="1" applyFill="1" applyBorder="1"/>
    <xf fontId="1" fillId="0" borderId="6" numFmtId="0" xfId="0" applyFont="1" applyBorder="1" applyAlignment="1">
      <alignment horizontal="center" vertical="top"/>
    </xf>
    <xf fontId="1" fillId="2" borderId="14" numFmtId="0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O1" zoomScale="100" workbookViewId="0">
      <selection activeCell="BI12" activeCellId="0" sqref="BI12"/>
    </sheetView>
  </sheetViews>
  <sheetFormatPr defaultColWidth="3.625" defaultRowHeight="16.5" customHeight="1"/>
  <cols>
    <col min="1" max="1" style="2" width="3.625"/>
    <col customWidth="1" min="2" max="3" style="1" width="21"/>
    <col customWidth="1" min="4" max="4" style="1" width="8"/>
    <col customWidth="1" min="5" max="5" style="1" width="5.625"/>
    <col min="6" max="16384" style="1" width="3.625"/>
  </cols>
  <sheetData>
    <row r="1" ht="16.5" customHeight="1">
      <c r="A1" s="3" t="s">
        <v>0</v>
      </c>
      <c r="B1" s="4" t="s">
        <v>1</v>
      </c>
      <c r="C1" s="4"/>
      <c r="D1" s="5"/>
      <c r="F1" s="6">
        <v>4</v>
      </c>
      <c r="G1" s="7"/>
      <c r="H1" s="7"/>
      <c r="I1" s="7"/>
      <c r="J1" s="8">
        <v>2</v>
      </c>
      <c r="K1" s="9"/>
      <c r="L1" s="8">
        <v>5</v>
      </c>
      <c r="M1" s="10"/>
      <c r="N1" s="10"/>
      <c r="O1" s="10"/>
      <c r="P1" s="9"/>
      <c r="Q1" s="8">
        <v>5</v>
      </c>
      <c r="R1" s="10"/>
      <c r="S1" s="10"/>
      <c r="T1" s="10"/>
      <c r="U1" s="9"/>
      <c r="V1" s="8">
        <v>5</v>
      </c>
      <c r="W1" s="10"/>
      <c r="X1" s="10"/>
      <c r="Y1" s="10"/>
      <c r="Z1" s="9"/>
      <c r="AA1" s="8">
        <v>5</v>
      </c>
      <c r="AB1" s="10"/>
      <c r="AC1" s="10"/>
      <c r="AD1" s="10"/>
      <c r="AE1" s="9"/>
      <c r="AF1" s="8">
        <v>5</v>
      </c>
      <c r="AG1" s="10"/>
      <c r="AH1" s="10"/>
      <c r="AI1" s="10"/>
      <c r="AJ1" s="9"/>
      <c r="AK1" s="8">
        <v>4</v>
      </c>
      <c r="AL1" s="10"/>
      <c r="AM1" s="10"/>
      <c r="AN1" s="10"/>
      <c r="AO1" s="8">
        <v>2</v>
      </c>
      <c r="AP1" s="9"/>
      <c r="AQ1" s="8">
        <v>6</v>
      </c>
      <c r="AR1" s="10"/>
      <c r="AS1" s="10"/>
      <c r="AT1" s="10"/>
      <c r="AU1" s="10"/>
      <c r="AV1" s="9"/>
      <c r="AW1" s="8">
        <v>6</v>
      </c>
      <c r="AX1" s="10"/>
      <c r="AY1" s="10"/>
      <c r="AZ1" s="10"/>
      <c r="BA1" s="10"/>
      <c r="BB1" s="9"/>
      <c r="BC1" s="11">
        <v>1</v>
      </c>
      <c r="BD1" s="11">
        <v>1</v>
      </c>
      <c r="BE1" s="8">
        <v>4</v>
      </c>
      <c r="BF1" s="10"/>
      <c r="BG1" s="10"/>
      <c r="BH1" s="9"/>
      <c r="BI1" s="11">
        <v>1</v>
      </c>
      <c r="BJ1" s="8">
        <v>4</v>
      </c>
      <c r="BK1" s="10"/>
      <c r="BL1" s="10"/>
      <c r="BM1" s="9"/>
      <c r="BN1" s="12">
        <v>4</v>
      </c>
      <c r="BO1" s="13"/>
      <c r="BP1" s="13"/>
      <c r="BQ1" s="14"/>
      <c r="BR1" s="8">
        <v>2</v>
      </c>
      <c r="BS1" s="9"/>
      <c r="BT1" s="15"/>
      <c r="BU1" s="15"/>
      <c r="BV1" s="15"/>
      <c r="BW1" s="15"/>
      <c r="BX1" s="15"/>
      <c r="BY1" s="15"/>
      <c r="BZ1" s="15"/>
      <c r="CA1" s="1">
        <f>SUM(E1:BZ1)</f>
        <v>66</v>
      </c>
    </row>
    <row r="2" ht="11.25" customHeight="1">
      <c r="A2" s="3"/>
      <c r="B2" s="16"/>
      <c r="C2" s="16"/>
      <c r="D2" s="17"/>
      <c r="E2" s="18" t="s">
        <v>2</v>
      </c>
      <c r="F2" s="19">
        <v>46202</v>
      </c>
      <c r="G2" s="19">
        <v>46202</v>
      </c>
      <c r="H2" s="19">
        <v>46202</v>
      </c>
      <c r="I2" s="19">
        <v>46202</v>
      </c>
      <c r="J2" s="19">
        <v>46206</v>
      </c>
      <c r="K2" s="19">
        <v>46206</v>
      </c>
      <c r="L2" s="19">
        <v>46209</v>
      </c>
      <c r="M2" s="19">
        <v>46209</v>
      </c>
      <c r="N2" s="19">
        <v>46209</v>
      </c>
      <c r="O2" s="19">
        <v>46209</v>
      </c>
      <c r="P2" s="19">
        <v>46209</v>
      </c>
      <c r="Q2" s="19">
        <v>46216</v>
      </c>
      <c r="R2" s="19">
        <v>46216</v>
      </c>
      <c r="S2" s="19">
        <v>46216</v>
      </c>
      <c r="T2" s="19">
        <v>46216</v>
      </c>
      <c r="U2" s="19">
        <v>46216</v>
      </c>
      <c r="V2" s="19">
        <v>46223</v>
      </c>
      <c r="W2" s="19">
        <v>46223</v>
      </c>
      <c r="X2" s="19">
        <v>46223</v>
      </c>
      <c r="Y2" s="19">
        <v>46223</v>
      </c>
      <c r="Z2" s="19">
        <v>46223</v>
      </c>
      <c r="AA2" s="19">
        <v>46230</v>
      </c>
      <c r="AB2" s="19">
        <v>46230</v>
      </c>
      <c r="AC2" s="19">
        <v>46230</v>
      </c>
      <c r="AD2" s="20">
        <v>46230</v>
      </c>
      <c r="AE2" s="20">
        <v>46230</v>
      </c>
      <c r="AF2" s="19">
        <v>46279</v>
      </c>
      <c r="AG2" s="19">
        <v>46279</v>
      </c>
      <c r="AH2" s="19">
        <v>46279</v>
      </c>
      <c r="AI2" s="19">
        <v>46279</v>
      </c>
      <c r="AJ2" s="19">
        <v>46279</v>
      </c>
      <c r="AK2" s="19">
        <v>46286</v>
      </c>
      <c r="AL2" s="19">
        <v>46286</v>
      </c>
      <c r="AM2" s="21">
        <v>46286</v>
      </c>
      <c r="AN2" s="21">
        <v>46286</v>
      </c>
      <c r="AO2" s="19">
        <v>46291</v>
      </c>
      <c r="AP2" s="19">
        <v>46291</v>
      </c>
      <c r="AQ2" s="19">
        <v>46293</v>
      </c>
      <c r="AR2" s="19">
        <v>46293</v>
      </c>
      <c r="AS2" s="19">
        <v>46293</v>
      </c>
      <c r="AT2" s="19">
        <v>46293</v>
      </c>
      <c r="AU2" s="19">
        <v>46293</v>
      </c>
      <c r="AV2" s="19">
        <v>46293</v>
      </c>
      <c r="AW2" s="19" t="s">
        <v>3</v>
      </c>
      <c r="AX2" s="19" t="s">
        <v>3</v>
      </c>
      <c r="AY2" s="19" t="s">
        <v>3</v>
      </c>
      <c r="AZ2" s="19" t="s">
        <v>3</v>
      </c>
      <c r="BA2" s="19" t="s">
        <v>3</v>
      </c>
      <c r="BB2" s="19" t="s">
        <v>3</v>
      </c>
      <c r="BC2" s="19" t="s">
        <v>4</v>
      </c>
      <c r="BD2" s="19" t="s">
        <v>5</v>
      </c>
      <c r="BE2" s="19" t="s">
        <v>6</v>
      </c>
      <c r="BF2" s="19" t="s">
        <v>6</v>
      </c>
      <c r="BG2" s="19" t="s">
        <v>6</v>
      </c>
      <c r="BH2" s="19" t="s">
        <v>6</v>
      </c>
      <c r="BI2" s="19" t="s">
        <v>7</v>
      </c>
      <c r="BJ2" s="19" t="s">
        <v>8</v>
      </c>
      <c r="BK2" s="19" t="s">
        <v>8</v>
      </c>
      <c r="BL2" s="19" t="s">
        <v>8</v>
      </c>
      <c r="BM2" s="19" t="s">
        <v>8</v>
      </c>
      <c r="BN2" s="22" t="s">
        <v>9</v>
      </c>
      <c r="BO2" s="22" t="s">
        <v>9</v>
      </c>
      <c r="BP2" s="22" t="s">
        <v>9</v>
      </c>
      <c r="BQ2" s="22" t="s">
        <v>9</v>
      </c>
      <c r="BR2" s="22" t="s">
        <v>10</v>
      </c>
      <c r="BS2" s="22" t="s">
        <v>10</v>
      </c>
      <c r="BT2" s="19"/>
      <c r="BU2" s="19"/>
      <c r="BV2" s="19"/>
      <c r="BW2" s="19"/>
      <c r="BX2" s="19"/>
      <c r="BY2" s="19"/>
      <c r="BZ2" s="19"/>
    </row>
    <row r="3" ht="23.949999999999999" customHeight="1">
      <c r="A3" s="23" t="s">
        <v>11</v>
      </c>
      <c r="B3" s="23"/>
      <c r="C3" s="23"/>
      <c r="D3" s="23"/>
      <c r="E3" s="24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20"/>
      <c r="AE3" s="20"/>
      <c r="AF3" s="19"/>
      <c r="AG3" s="19"/>
      <c r="AH3" s="19"/>
      <c r="AI3" s="19"/>
      <c r="AJ3" s="19"/>
      <c r="AK3" s="19"/>
      <c r="AL3" s="19"/>
      <c r="AM3" s="21"/>
      <c r="AN3" s="21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22"/>
      <c r="BO3" s="22"/>
      <c r="BP3" s="22"/>
      <c r="BQ3" s="22"/>
      <c r="BR3" s="22"/>
      <c r="BS3" s="22"/>
      <c r="BT3" s="19"/>
      <c r="BU3" s="19"/>
      <c r="BV3" s="19"/>
      <c r="BW3" s="19"/>
      <c r="BX3" s="19"/>
      <c r="BY3" s="19"/>
      <c r="BZ3" s="19"/>
    </row>
    <row r="4" ht="24.800000000000001" customHeight="1">
      <c r="A4" s="23" t="s">
        <v>12</v>
      </c>
      <c r="B4" s="23"/>
      <c r="C4" s="25" t="s">
        <v>13</v>
      </c>
      <c r="D4" s="26"/>
      <c r="E4" s="24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20"/>
      <c r="AE4" s="20"/>
      <c r="AF4" s="19"/>
      <c r="AG4" s="19"/>
      <c r="AH4" s="19"/>
      <c r="AI4" s="19"/>
      <c r="AJ4" s="19"/>
      <c r="AK4" s="19"/>
      <c r="AL4" s="19"/>
      <c r="AM4" s="21"/>
      <c r="AN4" s="21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22"/>
      <c r="BO4" s="22"/>
      <c r="BP4" s="22"/>
      <c r="BQ4" s="22"/>
      <c r="BR4" s="22"/>
      <c r="BS4" s="22"/>
      <c r="BT4" s="19"/>
      <c r="BU4" s="19"/>
      <c r="BV4" s="19"/>
      <c r="BW4" s="19"/>
      <c r="BX4" s="19"/>
      <c r="BY4" s="19"/>
      <c r="BZ4" s="19"/>
    </row>
    <row r="5" ht="16.5" customHeight="1">
      <c r="A5" s="27" t="s">
        <v>14</v>
      </c>
      <c r="B5" s="27"/>
      <c r="C5" s="28">
        <v>60</v>
      </c>
      <c r="D5" s="29"/>
      <c r="E5" s="24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20"/>
      <c r="AE5" s="20"/>
      <c r="AF5" s="19"/>
      <c r="AG5" s="19"/>
      <c r="AH5" s="19"/>
      <c r="AI5" s="19"/>
      <c r="AJ5" s="19"/>
      <c r="AK5" s="19"/>
      <c r="AL5" s="19"/>
      <c r="AM5" s="21"/>
      <c r="AN5" s="21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22"/>
      <c r="BO5" s="22"/>
      <c r="BP5" s="22"/>
      <c r="BQ5" s="22"/>
      <c r="BR5" s="22"/>
      <c r="BS5" s="22"/>
      <c r="BT5" s="19"/>
      <c r="BU5" s="19"/>
      <c r="BV5" s="19"/>
      <c r="BW5" s="19"/>
      <c r="BX5" s="19"/>
      <c r="BY5" s="19"/>
      <c r="BZ5" s="19"/>
    </row>
    <row r="6" ht="16.5" customHeight="1">
      <c r="A6" s="27" t="s">
        <v>15</v>
      </c>
      <c r="B6" s="27"/>
      <c r="C6" s="28">
        <v>6</v>
      </c>
      <c r="D6" s="29"/>
      <c r="E6" s="24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20"/>
      <c r="AE6" s="20"/>
      <c r="AF6" s="19"/>
      <c r="AG6" s="19"/>
      <c r="AH6" s="19"/>
      <c r="AI6" s="19"/>
      <c r="AJ6" s="19"/>
      <c r="AK6" s="19"/>
      <c r="AL6" s="19"/>
      <c r="AM6" s="21"/>
      <c r="AN6" s="21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22"/>
      <c r="BO6" s="22"/>
      <c r="BP6" s="22"/>
      <c r="BQ6" s="22"/>
      <c r="BR6" s="22"/>
      <c r="BS6" s="22"/>
      <c r="BT6" s="19"/>
      <c r="BU6" s="19"/>
      <c r="BV6" s="19"/>
      <c r="BW6" s="19"/>
      <c r="BX6" s="19"/>
      <c r="BY6" s="19"/>
      <c r="BZ6" s="19"/>
    </row>
    <row r="7" ht="16.5" customHeight="1">
      <c r="A7" s="30" t="s">
        <v>16</v>
      </c>
      <c r="B7" s="30"/>
      <c r="C7" s="28">
        <v>9</v>
      </c>
      <c r="D7" s="29"/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3"/>
      <c r="AE7" s="33"/>
      <c r="AF7" s="32"/>
      <c r="AG7" s="32"/>
      <c r="AH7" s="32"/>
      <c r="AI7" s="32"/>
      <c r="AJ7" s="32"/>
      <c r="AK7" s="32"/>
      <c r="AL7" s="32"/>
      <c r="AM7" s="34"/>
      <c r="AN7" s="34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5"/>
      <c r="BO7" s="35"/>
      <c r="BP7" s="35"/>
      <c r="BQ7" s="35"/>
      <c r="BR7" s="35"/>
      <c r="BS7" s="35"/>
      <c r="BT7" s="32"/>
      <c r="BU7" s="32"/>
      <c r="BV7" s="32"/>
      <c r="BW7" s="32"/>
      <c r="BX7" s="32"/>
      <c r="BY7" s="32"/>
      <c r="BZ7" s="32"/>
    </row>
    <row r="8" ht="23.949999999999999" customHeight="1">
      <c r="A8" s="36" t="s">
        <v>17</v>
      </c>
      <c r="B8" s="36"/>
      <c r="C8" s="37">
        <f>SUM(C5:D7)</f>
        <v>75</v>
      </c>
      <c r="D8" s="26"/>
      <c r="E8" s="38"/>
      <c r="F8" s="39">
        <v>1</v>
      </c>
      <c r="G8" s="39">
        <v>2</v>
      </c>
      <c r="H8" s="39">
        <v>3</v>
      </c>
      <c r="I8" s="39">
        <v>4</v>
      </c>
      <c r="J8" s="39">
        <v>5</v>
      </c>
      <c r="K8" s="39">
        <v>6</v>
      </c>
      <c r="L8" s="39">
        <v>7</v>
      </c>
      <c r="M8" s="39">
        <v>8</v>
      </c>
      <c r="N8" s="39">
        <v>9</v>
      </c>
      <c r="O8" s="39">
        <v>10</v>
      </c>
      <c r="P8" s="39">
        <v>11</v>
      </c>
      <c r="Q8" s="39">
        <v>12</v>
      </c>
      <c r="R8" s="39">
        <v>13</v>
      </c>
      <c r="S8" s="39">
        <v>14</v>
      </c>
      <c r="T8" s="39">
        <v>15</v>
      </c>
      <c r="U8" s="39">
        <v>16</v>
      </c>
      <c r="V8" s="39">
        <v>17</v>
      </c>
      <c r="W8" s="39">
        <v>18</v>
      </c>
      <c r="X8" s="39">
        <v>19</v>
      </c>
      <c r="Y8" s="39">
        <v>20</v>
      </c>
      <c r="Z8" s="39">
        <v>21</v>
      </c>
      <c r="AA8" s="39">
        <v>22</v>
      </c>
      <c r="AB8" s="39">
        <v>23</v>
      </c>
      <c r="AC8" s="39">
        <v>24</v>
      </c>
      <c r="AD8" s="39">
        <v>25</v>
      </c>
      <c r="AE8" s="39">
        <v>26</v>
      </c>
      <c r="AF8" s="39">
        <v>27</v>
      </c>
      <c r="AG8" s="39">
        <v>28</v>
      </c>
      <c r="AH8" s="39">
        <v>29</v>
      </c>
      <c r="AI8" s="39">
        <v>30</v>
      </c>
      <c r="AJ8" s="39">
        <v>31</v>
      </c>
      <c r="AK8" s="39">
        <v>32</v>
      </c>
      <c r="AL8" s="39">
        <v>33</v>
      </c>
      <c r="AM8" s="39">
        <v>34</v>
      </c>
      <c r="AN8" s="39">
        <v>35</v>
      </c>
      <c r="AO8" s="39">
        <v>38</v>
      </c>
      <c r="AP8" s="39">
        <v>39</v>
      </c>
      <c r="AQ8" s="39">
        <v>40</v>
      </c>
      <c r="AR8" s="39">
        <v>41</v>
      </c>
      <c r="AS8" s="39">
        <v>42</v>
      </c>
      <c r="AT8" s="39">
        <v>43</v>
      </c>
      <c r="AU8" s="39">
        <v>44</v>
      </c>
      <c r="AV8" s="39">
        <v>45</v>
      </c>
      <c r="AW8" s="39">
        <v>46</v>
      </c>
      <c r="AX8" s="39">
        <v>47</v>
      </c>
      <c r="AY8" s="39">
        <v>48</v>
      </c>
      <c r="AZ8" s="39">
        <v>49</v>
      </c>
      <c r="BA8" s="39">
        <v>50</v>
      </c>
      <c r="BB8" s="39">
        <v>51</v>
      </c>
      <c r="BC8" s="39">
        <v>52</v>
      </c>
      <c r="BD8" s="39">
        <v>53</v>
      </c>
      <c r="BE8" s="39">
        <v>54</v>
      </c>
      <c r="BF8" s="39">
        <v>55</v>
      </c>
      <c r="BG8" s="39">
        <v>56</v>
      </c>
      <c r="BH8" s="39">
        <v>57</v>
      </c>
      <c r="BI8" s="39">
        <v>58</v>
      </c>
      <c r="BJ8" s="39">
        <v>59</v>
      </c>
      <c r="BK8" s="39">
        <v>60</v>
      </c>
      <c r="BL8" s="39">
        <v>61</v>
      </c>
      <c r="BM8" s="39">
        <v>62</v>
      </c>
      <c r="BN8" s="39">
        <v>63</v>
      </c>
      <c r="BO8" s="39">
        <v>64</v>
      </c>
      <c r="BP8" s="39">
        <v>65</v>
      </c>
      <c r="BQ8" s="39">
        <v>66</v>
      </c>
      <c r="BR8" s="39">
        <v>67</v>
      </c>
      <c r="BS8" s="39">
        <v>68</v>
      </c>
      <c r="BT8" s="39">
        <v>69</v>
      </c>
      <c r="BU8" s="39">
        <v>70</v>
      </c>
      <c r="BV8" s="39">
        <v>71</v>
      </c>
      <c r="BW8" s="39">
        <v>72</v>
      </c>
      <c r="BX8" s="39">
        <v>73</v>
      </c>
      <c r="BY8" s="39">
        <v>74</v>
      </c>
      <c r="BZ8" s="39">
        <v>75</v>
      </c>
    </row>
    <row r="9" ht="16.5" customHeight="1">
      <c r="A9" s="40" t="s">
        <v>18</v>
      </c>
      <c r="B9" s="41" t="s">
        <v>19</v>
      </c>
      <c r="C9" s="42" t="s">
        <v>20</v>
      </c>
      <c r="D9" s="41"/>
      <c r="E9" s="43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</row>
    <row r="10" ht="16.5" customHeight="1">
      <c r="A10" s="40"/>
      <c r="B10" s="41"/>
      <c r="C10" s="45"/>
      <c r="D10" s="41" t="s">
        <v>21</v>
      </c>
      <c r="E10" s="46" t="s">
        <v>22</v>
      </c>
      <c r="F10" s="47">
        <v>1</v>
      </c>
      <c r="G10" s="47">
        <v>1</v>
      </c>
      <c r="H10" s="47">
        <v>1</v>
      </c>
      <c r="I10" s="47">
        <v>1</v>
      </c>
      <c r="J10" s="47">
        <v>1</v>
      </c>
      <c r="K10" s="47">
        <v>1</v>
      </c>
      <c r="L10" s="47">
        <v>1</v>
      </c>
      <c r="M10" s="47">
        <v>1</v>
      </c>
      <c r="N10" s="47">
        <v>1</v>
      </c>
      <c r="O10" s="47">
        <v>1</v>
      </c>
      <c r="P10" s="47">
        <v>1</v>
      </c>
      <c r="Q10" s="47">
        <v>1</v>
      </c>
      <c r="R10" s="47">
        <v>1</v>
      </c>
      <c r="S10" s="47">
        <v>1</v>
      </c>
      <c r="T10" s="47">
        <v>1</v>
      </c>
      <c r="U10" s="47">
        <v>1</v>
      </c>
      <c r="V10" s="47">
        <v>1</v>
      </c>
      <c r="W10" s="47">
        <v>1</v>
      </c>
      <c r="X10" s="47">
        <v>1</v>
      </c>
      <c r="Y10" s="47">
        <v>1</v>
      </c>
      <c r="Z10" s="47">
        <v>1</v>
      </c>
      <c r="AA10" s="47">
        <v>1</v>
      </c>
      <c r="AB10" s="47">
        <v>1</v>
      </c>
      <c r="AC10" s="47">
        <v>1</v>
      </c>
      <c r="AD10" s="47">
        <v>1</v>
      </c>
      <c r="AE10" s="47">
        <v>1</v>
      </c>
      <c r="AF10" s="47">
        <v>1</v>
      </c>
      <c r="AG10" s="47">
        <v>1</v>
      </c>
      <c r="AH10" s="47">
        <v>1</v>
      </c>
      <c r="AI10" s="47">
        <v>1</v>
      </c>
      <c r="AJ10" s="47">
        <v>1</v>
      </c>
      <c r="AK10" s="47">
        <v>1</v>
      </c>
      <c r="AL10" s="47">
        <v>1</v>
      </c>
      <c r="AM10" s="47">
        <v>1</v>
      </c>
      <c r="AN10" s="47">
        <v>1</v>
      </c>
      <c r="AO10" s="47">
        <v>1</v>
      </c>
      <c r="AP10" s="47">
        <v>1</v>
      </c>
      <c r="AQ10" s="47">
        <v>1</v>
      </c>
      <c r="AR10" s="47">
        <v>1</v>
      </c>
      <c r="AS10" s="47">
        <v>1</v>
      </c>
      <c r="AT10" s="47">
        <v>1</v>
      </c>
      <c r="AU10" s="47">
        <v>1</v>
      </c>
      <c r="AV10" s="47">
        <v>1</v>
      </c>
      <c r="AW10" s="47">
        <v>1</v>
      </c>
      <c r="AX10" s="47">
        <v>1</v>
      </c>
      <c r="AY10" s="47">
        <v>1</v>
      </c>
      <c r="AZ10" s="47">
        <v>1</v>
      </c>
      <c r="BA10" s="47">
        <v>1</v>
      </c>
      <c r="BB10" s="47">
        <v>1</v>
      </c>
      <c r="BC10" s="47">
        <v>1</v>
      </c>
      <c r="BD10" s="47">
        <v>1</v>
      </c>
      <c r="BE10" s="47">
        <v>1</v>
      </c>
      <c r="BF10" s="47">
        <v>1</v>
      </c>
      <c r="BG10" s="47">
        <v>1</v>
      </c>
      <c r="BH10" s="47">
        <v>1</v>
      </c>
      <c r="BI10" s="47">
        <v>1</v>
      </c>
      <c r="BJ10" s="47">
        <v>1</v>
      </c>
      <c r="BK10" s="47">
        <v>1</v>
      </c>
      <c r="BL10" s="47">
        <v>1</v>
      </c>
      <c r="BM10" s="47">
        <v>1</v>
      </c>
      <c r="BN10" s="47">
        <v>1</v>
      </c>
      <c r="BO10" s="47">
        <v>1</v>
      </c>
      <c r="BP10" s="47">
        <v>1</v>
      </c>
      <c r="BQ10" s="47">
        <v>1</v>
      </c>
      <c r="BR10" s="47">
        <v>1</v>
      </c>
      <c r="BS10" s="47">
        <v>1</v>
      </c>
      <c r="BT10" s="47">
        <v>1</v>
      </c>
      <c r="BU10" s="47">
        <v>1</v>
      </c>
      <c r="BV10" s="47">
        <v>1</v>
      </c>
      <c r="BW10" s="47">
        <v>1</v>
      </c>
      <c r="BX10" s="47">
        <v>1</v>
      </c>
      <c r="BY10" s="47">
        <v>1</v>
      </c>
      <c r="BZ10" s="47">
        <v>1</v>
      </c>
    </row>
    <row r="11" ht="16.5" customHeight="1">
      <c r="A11" s="48">
        <v>1</v>
      </c>
      <c r="B11" s="49" t="s">
        <v>23</v>
      </c>
      <c r="C11" s="49" t="s">
        <v>24</v>
      </c>
      <c r="D11" s="50">
        <f t="shared" ref="D11:D28" si="0">COUNT(F11:BZ11)</f>
        <v>4</v>
      </c>
      <c r="E11" s="51"/>
      <c r="F11" s="47"/>
      <c r="G11" s="47"/>
      <c r="H11" s="47"/>
      <c r="I11" s="47"/>
      <c r="J11" s="47">
        <v>0</v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>
        <v>0</v>
      </c>
      <c r="AX11" s="47"/>
      <c r="AY11" s="47"/>
      <c r="AZ11" s="47"/>
      <c r="BA11" s="47"/>
      <c r="BB11" s="47"/>
      <c r="BC11" s="47">
        <v>0</v>
      </c>
      <c r="BD11" s="47"/>
      <c r="BE11" s="47"/>
      <c r="BF11" s="47"/>
      <c r="BG11" s="47"/>
      <c r="BH11" s="47"/>
      <c r="BI11" s="47">
        <v>0</v>
      </c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</row>
    <row r="12" ht="16.5" customHeight="1">
      <c r="A12" s="48">
        <v>2</v>
      </c>
      <c r="B12" s="49" t="s">
        <v>25</v>
      </c>
      <c r="C12" s="49" t="s">
        <v>26</v>
      </c>
      <c r="D12" s="50">
        <f t="shared" si="0"/>
        <v>0</v>
      </c>
      <c r="E12" s="51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  <c r="BY12" s="47"/>
      <c r="BZ12" s="47"/>
    </row>
    <row r="13" ht="16.5" customHeight="1">
      <c r="A13" s="48">
        <v>3</v>
      </c>
      <c r="B13" s="49" t="s">
        <v>27</v>
      </c>
      <c r="C13" s="49" t="s">
        <v>28</v>
      </c>
      <c r="D13" s="50">
        <f t="shared" si="0"/>
        <v>19</v>
      </c>
      <c r="E13" s="51"/>
      <c r="F13" s="47"/>
      <c r="G13" s="47"/>
      <c r="H13" s="47"/>
      <c r="I13" s="47"/>
      <c r="J13" s="47">
        <v>0</v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>
        <v>0</v>
      </c>
      <c r="W13" s="47">
        <v>0</v>
      </c>
      <c r="X13" s="47">
        <v>0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7">
        <v>0</v>
      </c>
      <c r="AE13" s="47">
        <v>0</v>
      </c>
      <c r="AF13" s="47">
        <v>0</v>
      </c>
      <c r="AG13" s="47"/>
      <c r="AH13" s="47"/>
      <c r="AI13" s="47"/>
      <c r="AJ13" s="47"/>
      <c r="AK13" s="47"/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>
        <v>0</v>
      </c>
      <c r="BD13" s="47"/>
      <c r="BE13" s="47"/>
      <c r="BF13" s="47"/>
      <c r="BG13" s="47"/>
      <c r="BH13" s="47"/>
      <c r="BI13" s="47">
        <v>0</v>
      </c>
      <c r="BJ13" s="47">
        <v>0</v>
      </c>
      <c r="BK13" s="47">
        <v>0</v>
      </c>
      <c r="BL13" s="47">
        <v>0</v>
      </c>
      <c r="BM13" s="47">
        <v>0</v>
      </c>
      <c r="BN13" s="47"/>
      <c r="BO13" s="47"/>
      <c r="BP13" s="47"/>
      <c r="BQ13" s="47"/>
      <c r="BR13" s="47"/>
      <c r="BS13" s="47">
        <v>0</v>
      </c>
      <c r="BT13" s="47"/>
      <c r="BU13" s="47"/>
      <c r="BV13" s="47"/>
      <c r="BW13" s="47"/>
      <c r="BX13" s="47"/>
      <c r="BY13" s="47"/>
      <c r="BZ13" s="47"/>
      <c r="CD13" s="52"/>
      <c r="CE13" s="1" t="s">
        <v>29</v>
      </c>
    </row>
    <row r="14" ht="16.5" customHeight="1">
      <c r="A14" s="48">
        <v>4</v>
      </c>
      <c r="B14" s="49" t="s">
        <v>30</v>
      </c>
      <c r="C14" s="53" t="s">
        <v>31</v>
      </c>
      <c r="D14" s="50">
        <f t="shared" si="0"/>
        <v>26</v>
      </c>
      <c r="E14" s="51"/>
      <c r="F14" s="47">
        <v>0</v>
      </c>
      <c r="G14" s="47">
        <v>0</v>
      </c>
      <c r="H14" s="47">
        <v>0</v>
      </c>
      <c r="I14" s="47">
        <v>0</v>
      </c>
      <c r="J14" s="47">
        <v>0</v>
      </c>
      <c r="K14" s="47">
        <v>0</v>
      </c>
      <c r="L14" s="47">
        <v>0</v>
      </c>
      <c r="M14" s="47">
        <v>0</v>
      </c>
      <c r="N14" s="47">
        <v>0</v>
      </c>
      <c r="O14" s="47">
        <v>0</v>
      </c>
      <c r="P14" s="47"/>
      <c r="Q14" s="47"/>
      <c r="R14" s="47"/>
      <c r="S14" s="47"/>
      <c r="T14" s="47"/>
      <c r="U14" s="47"/>
      <c r="V14" s="47">
        <v>0</v>
      </c>
      <c r="W14" s="47">
        <v>0</v>
      </c>
      <c r="X14" s="47"/>
      <c r="Y14" s="47"/>
      <c r="Z14" s="47"/>
      <c r="AA14" s="47">
        <v>0</v>
      </c>
      <c r="AB14" s="47">
        <v>0</v>
      </c>
      <c r="AC14" s="47">
        <v>0</v>
      </c>
      <c r="AD14" s="47">
        <v>0</v>
      </c>
      <c r="AE14" s="47">
        <v>0</v>
      </c>
      <c r="AF14" s="47">
        <v>0</v>
      </c>
      <c r="AG14" s="47">
        <v>0</v>
      </c>
      <c r="AH14" s="47">
        <v>0</v>
      </c>
      <c r="AI14" s="47">
        <v>0</v>
      </c>
      <c r="AJ14" s="47">
        <v>0</v>
      </c>
      <c r="AK14" s="47"/>
      <c r="AL14" s="47"/>
      <c r="AM14" s="47"/>
      <c r="AN14" s="47"/>
      <c r="AO14" s="47"/>
      <c r="AP14" s="47"/>
      <c r="AQ14" s="47"/>
      <c r="AR14" s="47"/>
      <c r="AS14" s="47"/>
      <c r="AT14" s="47"/>
      <c r="AU14" s="47"/>
      <c r="AV14" s="47"/>
      <c r="AW14" s="47">
        <v>0</v>
      </c>
      <c r="AX14" s="47"/>
      <c r="AY14" s="47"/>
      <c r="AZ14" s="47"/>
      <c r="BA14" s="47"/>
      <c r="BB14" s="47"/>
      <c r="BC14" s="47">
        <v>0</v>
      </c>
      <c r="BD14" s="47"/>
      <c r="BE14" s="47"/>
      <c r="BF14" s="47"/>
      <c r="BG14" s="47"/>
      <c r="BH14" s="47"/>
      <c r="BI14" s="47">
        <v>0</v>
      </c>
      <c r="BJ14" s="47"/>
      <c r="BK14" s="47"/>
      <c r="BL14" s="47"/>
      <c r="BM14" s="47"/>
      <c r="BN14" s="47"/>
      <c r="BO14" s="47"/>
      <c r="BP14" s="47"/>
      <c r="BQ14" s="47"/>
      <c r="BR14" s="47"/>
      <c r="BS14" s="47">
        <v>0</v>
      </c>
      <c r="BT14" s="47"/>
      <c r="BU14" s="47"/>
      <c r="BV14" s="47"/>
      <c r="BW14" s="47"/>
      <c r="BX14" s="47"/>
      <c r="BY14" s="47"/>
      <c r="BZ14" s="47"/>
    </row>
    <row r="15" ht="16.5" customHeight="1">
      <c r="A15" s="48">
        <v>5</v>
      </c>
      <c r="B15" s="49" t="s">
        <v>32</v>
      </c>
      <c r="C15" s="49" t="s">
        <v>33</v>
      </c>
      <c r="D15" s="50">
        <f t="shared" si="0"/>
        <v>22</v>
      </c>
      <c r="E15" s="51"/>
      <c r="F15" s="47">
        <v>0</v>
      </c>
      <c r="G15" s="47">
        <v>0</v>
      </c>
      <c r="H15" s="47">
        <v>0</v>
      </c>
      <c r="I15" s="47">
        <v>0</v>
      </c>
      <c r="J15" s="47">
        <v>0</v>
      </c>
      <c r="K15" s="47">
        <v>0</v>
      </c>
      <c r="L15" s="47">
        <v>0</v>
      </c>
      <c r="M15" s="47">
        <v>0</v>
      </c>
      <c r="N15" s="47">
        <v>0</v>
      </c>
      <c r="O15" s="47">
        <v>0</v>
      </c>
      <c r="P15" s="47">
        <v>0</v>
      </c>
      <c r="Q15" s="47"/>
      <c r="R15" s="47"/>
      <c r="S15" s="47"/>
      <c r="T15" s="47"/>
      <c r="U15" s="47"/>
      <c r="V15" s="47">
        <v>0</v>
      </c>
      <c r="W15" s="47">
        <v>0</v>
      </c>
      <c r="X15" s="47">
        <v>0</v>
      </c>
      <c r="Y15" s="47">
        <v>0</v>
      </c>
      <c r="Z15" s="47">
        <v>0</v>
      </c>
      <c r="AA15" s="47">
        <v>0</v>
      </c>
      <c r="AB15" s="47">
        <v>0</v>
      </c>
      <c r="AC15" s="47">
        <v>0</v>
      </c>
      <c r="AD15" s="47">
        <v>0</v>
      </c>
      <c r="AE15" s="47">
        <v>0</v>
      </c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>
        <v>0</v>
      </c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</row>
    <row r="16" ht="16.5" customHeight="1">
      <c r="A16" s="48">
        <v>6</v>
      </c>
      <c r="B16" s="49" t="s">
        <v>34</v>
      </c>
      <c r="C16" s="49" t="s">
        <v>35</v>
      </c>
      <c r="D16" s="50">
        <f t="shared" si="0"/>
        <v>5</v>
      </c>
      <c r="E16" s="51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>
        <v>0</v>
      </c>
      <c r="AB16" s="47">
        <v>0</v>
      </c>
      <c r="AC16" s="47">
        <v>0</v>
      </c>
      <c r="AD16" s="47">
        <v>0</v>
      </c>
      <c r="AE16" s="47">
        <v>0</v>
      </c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  <c r="BR16" s="47"/>
      <c r="BS16" s="47"/>
      <c r="BT16" s="47"/>
      <c r="BU16" s="47"/>
      <c r="BV16" s="47"/>
      <c r="BW16" s="47"/>
      <c r="BX16" s="47"/>
      <c r="BY16" s="47"/>
      <c r="BZ16" s="47"/>
    </row>
    <row r="17" ht="16.5" customHeight="1">
      <c r="A17" s="48">
        <v>7</v>
      </c>
      <c r="B17" s="49" t="s">
        <v>36</v>
      </c>
      <c r="C17" s="49" t="s">
        <v>37</v>
      </c>
      <c r="D17" s="50">
        <f t="shared" si="0"/>
        <v>11</v>
      </c>
      <c r="E17" s="51"/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0</v>
      </c>
      <c r="O17" s="47">
        <v>0</v>
      </c>
      <c r="P17" s="47">
        <v>0</v>
      </c>
      <c r="Q17" s="54" t="s">
        <v>38</v>
      </c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BZ17" s="56"/>
    </row>
    <row r="18" ht="16.5" customHeight="1">
      <c r="A18" s="48">
        <v>8</v>
      </c>
      <c r="B18" s="49" t="s">
        <v>30</v>
      </c>
      <c r="C18" s="49" t="s">
        <v>39</v>
      </c>
      <c r="D18" s="50">
        <f t="shared" si="0"/>
        <v>8</v>
      </c>
      <c r="E18" s="51"/>
      <c r="F18" s="47"/>
      <c r="G18" s="47"/>
      <c r="H18" s="47">
        <v>0</v>
      </c>
      <c r="I18" s="47">
        <v>0</v>
      </c>
      <c r="J18" s="47">
        <v>0</v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>
        <v>0</v>
      </c>
      <c r="W18" s="47">
        <v>0</v>
      </c>
      <c r="X18" s="47">
        <v>0</v>
      </c>
      <c r="Y18" s="47">
        <v>0</v>
      </c>
      <c r="Z18" s="47">
        <v>0</v>
      </c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  <c r="AQ18" s="47"/>
      <c r="AR18" s="47"/>
      <c r="AS18" s="47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  <c r="BR18" s="47"/>
      <c r="BS18" s="47"/>
      <c r="BT18" s="47"/>
      <c r="BU18" s="47"/>
      <c r="BV18" s="47"/>
      <c r="BW18" s="47"/>
      <c r="BX18" s="47"/>
      <c r="BY18" s="47"/>
      <c r="BZ18" s="47"/>
    </row>
    <row r="19" ht="16.5" customHeight="1">
      <c r="A19" s="48">
        <v>9</v>
      </c>
      <c r="B19" s="49" t="s">
        <v>30</v>
      </c>
      <c r="C19" s="49" t="s">
        <v>40</v>
      </c>
      <c r="D19" s="50">
        <f t="shared" si="0"/>
        <v>17</v>
      </c>
      <c r="E19" s="51"/>
      <c r="F19" s="47">
        <v>0</v>
      </c>
      <c r="G19" s="47">
        <v>0</v>
      </c>
      <c r="H19" s="47">
        <v>0</v>
      </c>
      <c r="I19" s="47">
        <v>0</v>
      </c>
      <c r="J19" s="47">
        <v>0</v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>
        <v>0</v>
      </c>
      <c r="W19" s="47">
        <v>0</v>
      </c>
      <c r="X19" s="47"/>
      <c r="Y19" s="47"/>
      <c r="Z19" s="47"/>
      <c r="AA19" s="47">
        <v>0</v>
      </c>
      <c r="AB19" s="47">
        <v>0</v>
      </c>
      <c r="AC19" s="47">
        <v>0</v>
      </c>
      <c r="AD19" s="47">
        <v>0</v>
      </c>
      <c r="AE19" s="47">
        <v>0</v>
      </c>
      <c r="AF19" s="47">
        <v>0</v>
      </c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47">
        <v>0</v>
      </c>
      <c r="BK19" s="47">
        <v>0</v>
      </c>
      <c r="BL19" s="47">
        <v>0</v>
      </c>
      <c r="BM19" s="47">
        <v>0</v>
      </c>
      <c r="BN19" s="47"/>
      <c r="BO19" s="47"/>
      <c r="BP19" s="47"/>
      <c r="BQ19" s="47"/>
      <c r="BR19" s="47"/>
      <c r="BS19" s="47"/>
      <c r="BT19" s="47"/>
      <c r="BU19" s="47"/>
      <c r="BV19" s="47"/>
      <c r="BW19" s="47"/>
      <c r="BX19" s="47"/>
      <c r="BY19" s="47"/>
      <c r="BZ19" s="47"/>
    </row>
    <row r="20" ht="16.5" customHeight="1">
      <c r="A20" s="48">
        <v>10</v>
      </c>
      <c r="B20" s="49" t="s">
        <v>30</v>
      </c>
      <c r="C20" s="49" t="s">
        <v>41</v>
      </c>
      <c r="D20" s="50">
        <f t="shared" si="0"/>
        <v>12</v>
      </c>
      <c r="E20" s="51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>
        <v>0</v>
      </c>
      <c r="W20" s="47">
        <v>0</v>
      </c>
      <c r="X20" s="47">
        <v>0</v>
      </c>
      <c r="Y20" s="47">
        <v>0</v>
      </c>
      <c r="Z20" s="47">
        <v>0</v>
      </c>
      <c r="AA20" s="47">
        <v>0</v>
      </c>
      <c r="AB20" s="47">
        <v>0</v>
      </c>
      <c r="AC20" s="47">
        <v>0</v>
      </c>
      <c r="AD20" s="47">
        <v>0</v>
      </c>
      <c r="AE20" s="47">
        <v>0</v>
      </c>
      <c r="AF20" s="47">
        <v>0</v>
      </c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>
        <v>0</v>
      </c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47"/>
      <c r="BK20" s="47"/>
      <c r="BL20" s="47"/>
      <c r="BM20" s="47"/>
      <c r="BN20" s="47"/>
      <c r="BO20" s="47"/>
      <c r="BP20" s="47"/>
      <c r="BQ20" s="47"/>
      <c r="BR20" s="47"/>
      <c r="BS20" s="47"/>
      <c r="BT20" s="47"/>
      <c r="BU20" s="47"/>
      <c r="BV20" s="47"/>
      <c r="BW20" s="47"/>
      <c r="BX20" s="47"/>
      <c r="BY20" s="47"/>
      <c r="BZ20" s="47"/>
    </row>
    <row r="21" ht="16.5" customHeight="1">
      <c r="A21" s="48">
        <v>11</v>
      </c>
      <c r="B21" s="49" t="s">
        <v>42</v>
      </c>
      <c r="C21" s="49" t="s">
        <v>43</v>
      </c>
      <c r="D21" s="50">
        <f t="shared" si="0"/>
        <v>26</v>
      </c>
      <c r="E21" s="51"/>
      <c r="F21" s="47">
        <v>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>
        <v>0</v>
      </c>
      <c r="M21" s="47">
        <v>0</v>
      </c>
      <c r="N21" s="47">
        <v>0</v>
      </c>
      <c r="O21" s="47">
        <v>0</v>
      </c>
      <c r="P21" s="47">
        <v>0</v>
      </c>
      <c r="Q21" s="47">
        <v>0</v>
      </c>
      <c r="R21" s="47">
        <v>0</v>
      </c>
      <c r="S21" s="47">
        <v>0</v>
      </c>
      <c r="T21" s="47">
        <v>0</v>
      </c>
      <c r="U21" s="47">
        <v>0</v>
      </c>
      <c r="V21" s="47">
        <v>0</v>
      </c>
      <c r="W21" s="47">
        <v>0</v>
      </c>
      <c r="X21" s="47">
        <v>0</v>
      </c>
      <c r="Y21" s="47">
        <v>0</v>
      </c>
      <c r="Z21" s="47">
        <v>0</v>
      </c>
      <c r="AA21" s="47">
        <v>0</v>
      </c>
      <c r="AB21" s="47">
        <v>0</v>
      </c>
      <c r="AC21" s="47">
        <v>0</v>
      </c>
      <c r="AD21" s="47">
        <v>0</v>
      </c>
      <c r="AE21" s="47">
        <v>0</v>
      </c>
      <c r="AF21" s="54" t="s">
        <v>44</v>
      </c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56"/>
    </row>
    <row r="22" ht="16.5" customHeight="1">
      <c r="A22" s="48">
        <v>12</v>
      </c>
      <c r="B22" s="53" t="s">
        <v>45</v>
      </c>
      <c r="C22" s="49" t="s">
        <v>46</v>
      </c>
      <c r="D22" s="50">
        <f t="shared" si="0"/>
        <v>10</v>
      </c>
      <c r="E22" s="51"/>
      <c r="F22" s="47"/>
      <c r="G22" s="47"/>
      <c r="H22" s="47"/>
      <c r="I22" s="47"/>
      <c r="J22" s="47">
        <v>0</v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>
        <v>0</v>
      </c>
      <c r="AB22" s="47">
        <v>0</v>
      </c>
      <c r="AC22" s="47">
        <v>0</v>
      </c>
      <c r="AD22" s="47">
        <v>0</v>
      </c>
      <c r="AE22" s="47">
        <v>0</v>
      </c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47"/>
      <c r="AW22" s="47">
        <v>0</v>
      </c>
      <c r="AX22" s="47"/>
      <c r="AY22" s="47"/>
      <c r="AZ22" s="47"/>
      <c r="BA22" s="47"/>
      <c r="BB22" s="47"/>
      <c r="BC22" s="47">
        <v>0</v>
      </c>
      <c r="BD22" s="47"/>
      <c r="BE22" s="47"/>
      <c r="BF22" s="47"/>
      <c r="BG22" s="47"/>
      <c r="BH22" s="47"/>
      <c r="BI22" s="47">
        <v>0</v>
      </c>
      <c r="BJ22" s="47"/>
      <c r="BK22" s="47"/>
      <c r="BL22" s="47"/>
      <c r="BM22" s="47"/>
      <c r="BN22" s="47"/>
      <c r="BO22" s="47"/>
      <c r="BP22" s="47"/>
      <c r="BQ22" s="47"/>
      <c r="BR22" s="47"/>
      <c r="BS22" s="47">
        <v>0</v>
      </c>
      <c r="BT22" s="47"/>
      <c r="BU22" s="47"/>
      <c r="BV22" s="47"/>
      <c r="BW22" s="47"/>
      <c r="BX22" s="47"/>
      <c r="BY22" s="47"/>
      <c r="BZ22" s="47"/>
    </row>
    <row r="23" ht="16.5" customHeight="1">
      <c r="A23" s="48">
        <v>13</v>
      </c>
      <c r="B23" s="49" t="s">
        <v>47</v>
      </c>
      <c r="C23" s="49" t="s">
        <v>48</v>
      </c>
      <c r="D23" s="50">
        <f t="shared" si="0"/>
        <v>26</v>
      </c>
      <c r="E23" s="51"/>
      <c r="F23" s="47">
        <v>0</v>
      </c>
      <c r="G23" s="47">
        <v>0</v>
      </c>
      <c r="H23" s="47">
        <v>0</v>
      </c>
      <c r="I23" s="47">
        <v>0</v>
      </c>
      <c r="J23" s="47">
        <v>0</v>
      </c>
      <c r="K23" s="47">
        <v>0</v>
      </c>
      <c r="L23" s="47">
        <v>0</v>
      </c>
      <c r="M23" s="47">
        <v>0</v>
      </c>
      <c r="N23" s="47">
        <v>0</v>
      </c>
      <c r="O23" s="47">
        <v>0</v>
      </c>
      <c r="P23" s="47">
        <v>0</v>
      </c>
      <c r="Q23" s="47">
        <v>0</v>
      </c>
      <c r="R23" s="47">
        <v>0</v>
      </c>
      <c r="S23" s="47">
        <v>0</v>
      </c>
      <c r="T23" s="47">
        <v>0</v>
      </c>
      <c r="U23" s="47">
        <v>0</v>
      </c>
      <c r="V23" s="47">
        <v>0</v>
      </c>
      <c r="W23" s="47">
        <v>0</v>
      </c>
      <c r="X23" s="47">
        <v>0</v>
      </c>
      <c r="Y23" s="47">
        <v>0</v>
      </c>
      <c r="Z23" s="47">
        <v>0</v>
      </c>
      <c r="AA23" s="47">
        <v>0</v>
      </c>
      <c r="AB23" s="47">
        <v>0</v>
      </c>
      <c r="AC23" s="47">
        <v>0</v>
      </c>
      <c r="AD23" s="47">
        <v>0</v>
      </c>
      <c r="AE23" s="47">
        <v>0</v>
      </c>
      <c r="AF23" s="54" t="s">
        <v>44</v>
      </c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  <c r="BN23" s="55"/>
      <c r="BO23" s="55"/>
      <c r="BP23" s="55"/>
      <c r="BQ23" s="55"/>
      <c r="BR23" s="55"/>
      <c r="BS23" s="55"/>
      <c r="BT23" s="55"/>
      <c r="BU23" s="55"/>
      <c r="BV23" s="55"/>
      <c r="BW23" s="55"/>
      <c r="BX23" s="55"/>
      <c r="BY23" s="55"/>
      <c r="BZ23" s="56"/>
    </row>
    <row r="24" ht="16.5" customHeight="1">
      <c r="A24" s="48">
        <v>14</v>
      </c>
      <c r="B24" s="49" t="s">
        <v>49</v>
      </c>
      <c r="C24" s="49" t="s">
        <v>50</v>
      </c>
      <c r="D24" s="50">
        <f t="shared" si="0"/>
        <v>15</v>
      </c>
      <c r="E24" s="51"/>
      <c r="F24" s="47">
        <v>0</v>
      </c>
      <c r="G24" s="47">
        <v>0</v>
      </c>
      <c r="H24" s="47">
        <v>0</v>
      </c>
      <c r="I24" s="47">
        <v>0</v>
      </c>
      <c r="J24" s="47">
        <v>0</v>
      </c>
      <c r="K24" s="47">
        <v>0</v>
      </c>
      <c r="L24" s="47">
        <v>0</v>
      </c>
      <c r="M24" s="47">
        <v>0</v>
      </c>
      <c r="N24" s="47">
        <v>0</v>
      </c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>
        <v>0</v>
      </c>
      <c r="AB24" s="47">
        <v>0</v>
      </c>
      <c r="AC24" s="47">
        <v>0</v>
      </c>
      <c r="AD24" s="47">
        <v>0</v>
      </c>
      <c r="AE24" s="47">
        <v>0</v>
      </c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>
        <v>0</v>
      </c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</row>
    <row r="25" ht="16.5" customHeight="1">
      <c r="A25" s="48">
        <v>15</v>
      </c>
      <c r="B25" s="49" t="s">
        <v>51</v>
      </c>
      <c r="C25" s="49" t="s">
        <v>52</v>
      </c>
      <c r="D25" s="50">
        <f t="shared" si="0"/>
        <v>24</v>
      </c>
      <c r="E25" s="51"/>
      <c r="F25" s="47">
        <v>0</v>
      </c>
      <c r="G25" s="47">
        <v>0</v>
      </c>
      <c r="H25" s="47">
        <v>0</v>
      </c>
      <c r="I25" s="47">
        <v>0</v>
      </c>
      <c r="J25" s="47">
        <v>0</v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>
        <v>0</v>
      </c>
      <c r="W25" s="47">
        <v>0</v>
      </c>
      <c r="X25" s="47">
        <v>0</v>
      </c>
      <c r="Y25" s="47">
        <v>0</v>
      </c>
      <c r="Z25" s="47">
        <v>0</v>
      </c>
      <c r="AA25" s="47">
        <v>0</v>
      </c>
      <c r="AB25" s="47">
        <v>0</v>
      </c>
      <c r="AC25" s="47">
        <v>0</v>
      </c>
      <c r="AD25" s="47">
        <v>0</v>
      </c>
      <c r="AE25" s="47">
        <v>0</v>
      </c>
      <c r="AF25" s="47">
        <v>0</v>
      </c>
      <c r="AG25" s="47">
        <v>0</v>
      </c>
      <c r="AH25" s="47">
        <v>0</v>
      </c>
      <c r="AI25" s="47">
        <v>0</v>
      </c>
      <c r="AJ25" s="47">
        <v>0</v>
      </c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47"/>
      <c r="AW25" s="47">
        <v>0</v>
      </c>
      <c r="AX25" s="47"/>
      <c r="AY25" s="47"/>
      <c r="AZ25" s="47"/>
      <c r="BA25" s="47"/>
      <c r="BB25" s="47"/>
      <c r="BC25" s="47">
        <v>0</v>
      </c>
      <c r="BD25" s="47"/>
      <c r="BE25" s="47"/>
      <c r="BF25" s="47"/>
      <c r="BG25" s="47"/>
      <c r="BH25" s="47"/>
      <c r="BI25" s="47">
        <v>0</v>
      </c>
      <c r="BJ25" s="47"/>
      <c r="BK25" s="47"/>
      <c r="BL25" s="47"/>
      <c r="BM25" s="47"/>
      <c r="BN25" s="47"/>
      <c r="BO25" s="47"/>
      <c r="BP25" s="47"/>
      <c r="BQ25" s="47"/>
      <c r="BR25" s="47"/>
      <c r="BS25" s="47">
        <v>0</v>
      </c>
      <c r="BT25" s="47"/>
      <c r="BU25" s="47"/>
      <c r="BV25" s="47"/>
      <c r="BW25" s="47"/>
      <c r="BX25" s="47"/>
      <c r="BY25" s="47"/>
      <c r="BZ25" s="47"/>
    </row>
    <row r="26" ht="16.5" customHeight="1">
      <c r="A26" s="48">
        <v>16</v>
      </c>
      <c r="B26" s="49" t="s">
        <v>53</v>
      </c>
      <c r="C26" s="49" t="s">
        <v>54</v>
      </c>
      <c r="D26" s="50">
        <f t="shared" si="0"/>
        <v>32</v>
      </c>
      <c r="E26" s="51"/>
      <c r="F26" s="47">
        <v>0</v>
      </c>
      <c r="G26" s="47">
        <v>0</v>
      </c>
      <c r="H26" s="47">
        <v>0</v>
      </c>
      <c r="I26" s="47">
        <v>0</v>
      </c>
      <c r="J26" s="47">
        <v>0</v>
      </c>
      <c r="K26" s="47">
        <v>0</v>
      </c>
      <c r="L26" s="47">
        <v>0</v>
      </c>
      <c r="M26" s="47">
        <v>0</v>
      </c>
      <c r="N26" s="47">
        <v>0</v>
      </c>
      <c r="O26" s="47">
        <v>0</v>
      </c>
      <c r="P26" s="47">
        <v>0</v>
      </c>
      <c r="Q26" s="47"/>
      <c r="R26" s="47"/>
      <c r="S26" s="47"/>
      <c r="T26" s="47"/>
      <c r="U26" s="47"/>
      <c r="V26" s="47">
        <v>0</v>
      </c>
      <c r="W26" s="47">
        <v>0</v>
      </c>
      <c r="X26" s="47">
        <v>0</v>
      </c>
      <c r="Y26" s="47">
        <v>0</v>
      </c>
      <c r="Z26" s="47">
        <v>0</v>
      </c>
      <c r="AA26" s="47">
        <v>0</v>
      </c>
      <c r="AB26" s="47">
        <v>0</v>
      </c>
      <c r="AC26" s="47">
        <v>0</v>
      </c>
      <c r="AD26" s="47">
        <v>0</v>
      </c>
      <c r="AE26" s="47">
        <v>0</v>
      </c>
      <c r="AF26" s="47">
        <v>0</v>
      </c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>
        <v>0</v>
      </c>
      <c r="BD26" s="47"/>
      <c r="BE26" s="47"/>
      <c r="BF26" s="47"/>
      <c r="BG26" s="47"/>
      <c r="BH26" s="47"/>
      <c r="BI26" s="47">
        <v>0</v>
      </c>
      <c r="BJ26" s="47">
        <v>0</v>
      </c>
      <c r="BK26" s="47">
        <v>0</v>
      </c>
      <c r="BL26" s="47">
        <v>0</v>
      </c>
      <c r="BM26" s="47"/>
      <c r="BN26" s="47">
        <v>0</v>
      </c>
      <c r="BO26" s="47">
        <v>0</v>
      </c>
      <c r="BP26" s="47">
        <v>0</v>
      </c>
      <c r="BQ26" s="47">
        <v>0</v>
      </c>
      <c r="BR26" s="47"/>
      <c r="BS26" s="47">
        <v>0</v>
      </c>
      <c r="BT26" s="47"/>
      <c r="BU26" s="47"/>
      <c r="BV26" s="47"/>
      <c r="BW26" s="47"/>
      <c r="BX26" s="47"/>
      <c r="BY26" s="47"/>
      <c r="BZ26" s="47"/>
    </row>
    <row r="27" ht="16.5" customHeight="1">
      <c r="A27" s="48">
        <v>17</v>
      </c>
      <c r="B27" s="49" t="s">
        <v>55</v>
      </c>
      <c r="C27" s="49" t="s">
        <v>56</v>
      </c>
      <c r="D27" s="50">
        <f t="shared" si="0"/>
        <v>34</v>
      </c>
      <c r="E27" s="57"/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O27" s="47">
        <v>0</v>
      </c>
      <c r="P27" s="47">
        <v>0</v>
      </c>
      <c r="Q27" s="47">
        <v>0</v>
      </c>
      <c r="R27" s="47">
        <v>0</v>
      </c>
      <c r="S27" s="47">
        <v>0</v>
      </c>
      <c r="T27" s="47">
        <v>0</v>
      </c>
      <c r="U27" s="47">
        <v>0</v>
      </c>
      <c r="V27" s="47">
        <v>0</v>
      </c>
      <c r="W27" s="47">
        <v>0</v>
      </c>
      <c r="X27" s="47">
        <v>0</v>
      </c>
      <c r="Y27" s="47">
        <v>0</v>
      </c>
      <c r="Z27" s="47">
        <v>0</v>
      </c>
      <c r="AA27" s="47">
        <v>0</v>
      </c>
      <c r="AB27" s="47">
        <v>0</v>
      </c>
      <c r="AC27" s="47">
        <v>0</v>
      </c>
      <c r="AD27" s="47">
        <v>0</v>
      </c>
      <c r="AE27" s="47">
        <v>0</v>
      </c>
      <c r="AF27" s="47">
        <v>0</v>
      </c>
      <c r="AG27" s="47">
        <v>0</v>
      </c>
      <c r="AH27" s="47">
        <v>0</v>
      </c>
      <c r="AI27" s="47">
        <v>0</v>
      </c>
      <c r="AJ27" s="47">
        <v>0</v>
      </c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>
        <v>0</v>
      </c>
      <c r="AX27" s="47"/>
      <c r="AY27" s="47"/>
      <c r="AZ27" s="47"/>
      <c r="BA27" s="47"/>
      <c r="BB27" s="47"/>
      <c r="BC27" s="47">
        <v>0</v>
      </c>
      <c r="BD27" s="47"/>
      <c r="BE27" s="47"/>
      <c r="BF27" s="47"/>
      <c r="BG27" s="47"/>
      <c r="BH27" s="47"/>
      <c r="BI27" s="47">
        <v>0</v>
      </c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</row>
    <row r="28" ht="16.5" customHeight="1">
      <c r="A28" s="48">
        <v>18</v>
      </c>
      <c r="B28" s="49" t="s">
        <v>57</v>
      </c>
      <c r="C28" s="49" t="s">
        <v>58</v>
      </c>
      <c r="D28" s="58">
        <f t="shared" si="0"/>
        <v>0</v>
      </c>
      <c r="E28" s="59" t="s">
        <v>59</v>
      </c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BK28" s="59"/>
      <c r="BL28" s="59"/>
      <c r="BM28" s="59"/>
      <c r="BN28" s="59"/>
      <c r="BO28" s="59"/>
      <c r="BP28" s="59"/>
      <c r="BQ28" s="59"/>
      <c r="BR28" s="59"/>
      <c r="BS28" s="59"/>
      <c r="BT28" s="59"/>
      <c r="BU28" s="59"/>
      <c r="BV28" s="59"/>
      <c r="BW28" s="59"/>
      <c r="BX28" s="59"/>
      <c r="BY28" s="59"/>
      <c r="BZ28" s="59"/>
    </row>
  </sheetData>
  <mergeCells count="182">
    <mergeCell ref="A1:A2"/>
    <mergeCell ref="B1:D2"/>
    <mergeCell ref="F1:I1"/>
    <mergeCell ref="J1:K1"/>
    <mergeCell ref="L1:P1"/>
    <mergeCell ref="Q1:U1"/>
    <mergeCell ref="V1:Z1"/>
    <mergeCell ref="AA1:AE1"/>
    <mergeCell ref="AF1:AJ1"/>
    <mergeCell ref="AK1:AN1"/>
    <mergeCell ref="AO1:AP1"/>
    <mergeCell ref="AQ1:AV1"/>
    <mergeCell ref="AW1:BB1"/>
    <mergeCell ref="BE1:BH1"/>
    <mergeCell ref="BJ1:BM1"/>
    <mergeCell ref="BN1:BQ1"/>
    <mergeCell ref="BR1:BS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A9:A10"/>
    <mergeCell ref="B9:B10"/>
    <mergeCell ref="C9:D9"/>
    <mergeCell ref="Q17:BZ17"/>
    <mergeCell ref="AF21:BZ21"/>
    <mergeCell ref="AF23:BZ23"/>
    <mergeCell ref="E28:BZ2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126</cp:revision>
  <dcterms:created xsi:type="dcterms:W3CDTF">2015-06-05T18:17:20Z</dcterms:created>
  <dcterms:modified xsi:type="dcterms:W3CDTF">2026-10-20T07:40:32Z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