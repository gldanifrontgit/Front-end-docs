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301 ინტეგრირებული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<sst xmlns="http://schemas.openxmlformats.org/spreadsheetml/2006/main" count="58" uniqueCount="58">
  <si>
    <t xml:space="preserve">პროგრამა                     </t>
  </si>
  <si>
    <t xml:space="preserve">front-end დეველოპმენტი (ინტეგრირებული მიდგომით) N301</t>
  </si>
  <si>
    <t>რიცხვი</t>
  </si>
  <si>
    <t>05.10.2026</t>
  </si>
  <si>
    <t>08.10.2026</t>
  </si>
  <si>
    <t>09.10.2026</t>
  </si>
  <si>
    <t>12.10.2026</t>
  </si>
  <si>
    <t>15.10.2026</t>
  </si>
  <si>
    <t>16.10.2026</t>
  </si>
  <si>
    <t xml:space="preserve">მოდული:  ვერსიების კონტროლი git ტექნოლოგიის გამოყენებით; N 06.1.1.7</t>
  </si>
  <si>
    <t xml:space="preserve">პროფესიული განათლების მასწავლებელი</t>
  </si>
  <si>
    <t xml:space="preserve">ლევან ჭუმბურიძე</t>
  </si>
  <si>
    <t xml:space="preserve">საკონტაქტო საათები</t>
  </si>
  <si>
    <t>შეფასება</t>
  </si>
  <si>
    <t>დამოუკიდებელი</t>
  </si>
  <si>
    <t xml:space="preserve">სულ-საათების ჯამური რაოდენობა</t>
  </si>
  <si>
    <t>N</t>
  </si>
  <si>
    <t xml:space="preserve">სახელი გვარი</t>
  </si>
  <si>
    <t xml:space="preserve">გაცდენილი საათები</t>
  </si>
  <si>
    <t>სულ</t>
  </si>
  <si>
    <t>%</t>
  </si>
  <si>
    <r>
      <rPr>
        <sz val="11"/>
        <color indexed="63"/>
        <rFont val="Sylfaen"/>
      </rPr>
      <t>არმინე</t>
    </r>
  </si>
  <si>
    <r>
      <rPr>
        <sz val="11"/>
        <color indexed="63"/>
        <rFont val="Sylfaen"/>
      </rPr>
      <t>იორდანიან</t>
    </r>
  </si>
  <si>
    <r>
      <rPr>
        <sz val="11"/>
        <color indexed="63"/>
        <rFont val="Sylfaen"/>
      </rPr>
      <t>ალექსეი</t>
    </r>
  </si>
  <si>
    <r>
      <rPr>
        <sz val="11"/>
        <color indexed="63"/>
        <rFont val="Sylfaen"/>
      </rPr>
      <t>მოზაიძე</t>
    </r>
  </si>
  <si>
    <r>
      <rPr>
        <sz val="11"/>
        <color indexed="63"/>
        <rFont val="Sylfaen"/>
      </rPr>
      <t>ზურიკო</t>
    </r>
  </si>
  <si>
    <r>
      <rPr>
        <sz val="11"/>
        <color indexed="63"/>
        <rFont val="Sylfaen"/>
      </rPr>
      <t>კორსანტია</t>
    </r>
  </si>
  <si>
    <t>დადასტურება</t>
  </si>
  <si>
    <r>
      <rPr>
        <sz val="11"/>
        <color indexed="63"/>
        <rFont val="Sylfaen"/>
      </rPr>
      <t>ლუკა</t>
    </r>
  </si>
  <si>
    <t>მათითაიშვილი</t>
  </si>
  <si>
    <r>
      <rPr>
        <sz val="11"/>
        <color indexed="63"/>
        <rFont val="Sylfaen"/>
      </rPr>
      <t>საბა</t>
    </r>
  </si>
  <si>
    <r>
      <rPr>
        <sz val="11"/>
        <color indexed="63"/>
        <rFont val="Sylfaen"/>
      </rPr>
      <t>ლაჩაშვილი</t>
    </r>
  </si>
  <si>
    <r>
      <rPr>
        <sz val="11"/>
        <color indexed="63"/>
        <rFont val="Sylfaen"/>
      </rPr>
      <t>ალბინა</t>
    </r>
  </si>
  <si>
    <r>
      <rPr>
        <sz val="11"/>
        <color indexed="63"/>
        <rFont val="Sylfaen"/>
      </rPr>
      <t>ძახოევი</t>
    </r>
  </si>
  <si>
    <r>
      <rPr>
        <sz val="11"/>
        <color indexed="63"/>
        <rFont val="Sylfaen"/>
      </rPr>
      <t>მირიან</t>
    </r>
  </si>
  <si>
    <r>
      <rPr>
        <sz val="11"/>
        <color indexed="63"/>
        <rFont val="Sylfaen"/>
      </rPr>
      <t>ქათამაძე</t>
    </r>
  </si>
  <si>
    <t xml:space="preserve">სტატუსი შეუწყდა 09.07.2026-დან</t>
  </si>
  <si>
    <r>
      <rPr>
        <sz val="11"/>
        <color indexed="63"/>
        <rFont val="Sylfaen"/>
      </rPr>
      <t>ოდიშვილი</t>
    </r>
  </si>
  <si>
    <r>
      <rPr>
        <sz val="11"/>
        <color indexed="63"/>
        <rFont val="Sylfaen"/>
      </rPr>
      <t>ბანძელაძე</t>
    </r>
  </si>
  <si>
    <r>
      <rPr>
        <sz val="11"/>
        <color indexed="63"/>
        <rFont val="Sylfaen"/>
      </rPr>
      <t>მირცხულავა</t>
    </r>
  </si>
  <si>
    <r>
      <rPr>
        <sz val="11"/>
        <color indexed="63"/>
        <rFont val="Sylfaen"/>
      </rPr>
      <t>ლევან</t>
    </r>
  </si>
  <si>
    <r>
      <rPr>
        <sz val="11"/>
        <color indexed="63"/>
        <rFont val="Sylfaen"/>
      </rPr>
      <t>გობეჯიშვილი</t>
    </r>
  </si>
  <si>
    <t xml:space="preserve">სტატუსი შეუწყდა</t>
  </si>
  <si>
    <t>ალექსანდრე</t>
  </si>
  <si>
    <r>
      <rPr>
        <sz val="11"/>
        <color indexed="63"/>
        <rFont val="Sylfaen"/>
      </rPr>
      <t>ბერიაშვილი</t>
    </r>
  </si>
  <si>
    <r>
      <rPr>
        <sz val="11"/>
        <color indexed="63"/>
        <rFont val="Sylfaen"/>
      </rPr>
      <t>მარტიროს</t>
    </r>
  </si>
  <si>
    <r>
      <rPr>
        <sz val="11"/>
        <color indexed="63"/>
        <rFont val="Sylfaen"/>
      </rPr>
      <t>არუთუნიან</t>
    </r>
  </si>
  <si>
    <r>
      <rPr>
        <sz val="11"/>
        <color indexed="63"/>
        <rFont val="Sylfaen"/>
      </rPr>
      <t>ირინა</t>
    </r>
  </si>
  <si>
    <r>
      <rPr>
        <sz val="11"/>
        <color indexed="63"/>
        <rFont val="Sylfaen"/>
      </rPr>
      <t>მატაშოვა</t>
    </r>
  </si>
  <si>
    <r>
      <rPr>
        <sz val="11"/>
        <color indexed="63"/>
        <rFont val="Sylfaen"/>
      </rPr>
      <t>ნიკოლოზ</t>
    </r>
  </si>
  <si>
    <r>
      <rPr>
        <sz val="11"/>
        <color indexed="63"/>
        <rFont val="Sylfaen"/>
      </rPr>
      <t>ქისიშვილი</t>
    </r>
  </si>
  <si>
    <r>
      <rPr>
        <sz val="11"/>
        <color indexed="63"/>
        <rFont val="Sylfaen"/>
      </rPr>
      <t>დავითი</t>
    </r>
  </si>
  <si>
    <r>
      <rPr>
        <sz val="11"/>
        <color indexed="63"/>
        <rFont val="Sylfaen"/>
      </rPr>
      <t>ვეშაგური</t>
    </r>
  </si>
  <si>
    <r>
      <rPr>
        <sz val="11"/>
        <color indexed="63"/>
        <rFont val="Sylfaen"/>
      </rPr>
      <t>გიორგი</t>
    </r>
  </si>
  <si>
    <r>
      <rPr>
        <sz val="11"/>
        <color indexed="63"/>
        <rFont val="Sylfaen"/>
      </rPr>
      <t>ბენდიანიშვილი</t>
    </r>
  </si>
  <si>
    <r>
      <rPr>
        <sz val="11"/>
        <color indexed="63"/>
        <rFont val="Sylfaen"/>
      </rPr>
      <t>ვაჟა</t>
    </r>
  </si>
  <si>
    <r>
      <rPr>
        <sz val="11"/>
        <color indexed="63"/>
        <rFont val="Sylfaen"/>
      </rPr>
      <t>ხარაზიშვილი</t>
    </r>
  </si>
  <si>
    <t xml:space="preserve">სტატუსი შეუწყდა 2025 წლის 17 ოქტომბირდან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</si>
</sst>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0">
    <font>
      <sz val="11.000000"/>
      <color theme="1"/>
      <name val="Calibri"/>
      <scheme val="minor"/>
    </font>
    <font>
      <sz val="9.000000"/>
      <color theme="1"/>
      <name val="Sylfaen"/>
    </font>
    <font>
      <sz val="10.000000"/>
      <color theme="1"/>
      <name val="Calibri"/>
      <scheme val="minor"/>
    </font>
    <font>
      <sz val="10.000000"/>
      <color theme="1"/>
      <name val="Sylfaen"/>
    </font>
    <font>
      <b/>
      <sz val="9.000000"/>
      <color indexed="2"/>
      <name val="Sylfaen"/>
    </font>
    <font>
      <b/>
      <sz val="9.000000"/>
      <color theme="1"/>
      <name val="Sylfaen"/>
    </font>
    <font>
      <b/>
      <sz val="9.000000"/>
      <color theme="1"/>
      <name val="Calibri"/>
      <scheme val="minor"/>
    </font>
    <font>
      <sz val="11.000000"/>
      <name val="Sylfaen"/>
    </font>
    <font>
      <b/>
      <sz val="11.000000"/>
      <color indexed="2"/>
      <name val="Sylfaen"/>
    </font>
    <font>
      <sz val="11.000000"/>
      <color indexed="63"/>
      <name val="Sylfaen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theme="0"/>
      </patternFill>
    </fill>
    <fill>
      <patternFill patternType="solid">
        <fgColor theme="9"/>
      </patternFill>
    </fill>
    <fill>
      <patternFill patternType="solid">
        <fgColor rgb="FF92D050"/>
        <bgColor rgb="FF92D050"/>
      </patternFill>
    </fill>
    <fill>
      <patternFill patternType="solid">
        <fgColor indexed="2"/>
        <bgColor indexed="2"/>
      </patternFill>
    </fill>
  </fills>
  <borders count="1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56">
    <xf fontId="0" fillId="0" borderId="0" numFmtId="0" xfId="0"/>
    <xf fontId="0" fillId="2" borderId="0" numFmtId="0" xfId="0" applyFill="1"/>
    <xf fontId="0" fillId="2" borderId="0" numFmtId="0" xfId="0" applyFill="1" applyAlignment="1">
      <alignment horizontal="center"/>
    </xf>
    <xf fontId="1" fillId="2" borderId="1" numFmtId="0" xfId="0" applyFont="1" applyFill="1" applyBorder="1" applyAlignment="1">
      <alignment horizontal="center" textRotation="90" vertical="center"/>
    </xf>
    <xf fontId="2" fillId="2" borderId="2" numFmtId="0" xfId="0" applyFont="1" applyFill="1" applyBorder="1" applyAlignment="1">
      <alignment horizontal="left" vertical="center" wrapText="1"/>
    </xf>
    <xf fontId="2" fillId="2" borderId="3" numFmtId="0" xfId="0" applyFont="1" applyFill="1" applyBorder="1" applyAlignment="1">
      <alignment horizontal="left" vertical="center" wrapText="1"/>
    </xf>
    <xf fontId="0" fillId="2" borderId="4" numFmtId="0" xfId="0" applyFill="1" applyBorder="1" applyAlignment="1">
      <alignment horizontal="center"/>
    </xf>
    <xf fontId="0" fillId="2" borderId="5" numFmtId="0" xfId="0" applyFill="1" applyBorder="1" applyAlignment="1">
      <alignment horizontal="center"/>
    </xf>
    <xf fontId="0" fillId="2" borderId="6" numFmtId="0" xfId="0" applyFill="1" applyBorder="1" applyAlignment="1">
      <alignment horizontal="center"/>
    </xf>
    <xf fontId="0" fillId="2" borderId="7" numFmtId="0" xfId="0" applyFill="1" applyBorder="1" applyAlignment="1">
      <alignment horizontal="center"/>
    </xf>
    <xf fontId="0" fillId="2" borderId="8" numFmtId="0" xfId="0" applyFill="1" applyBorder="1" applyAlignment="1">
      <alignment horizontal="center"/>
    </xf>
    <xf fontId="0" fillId="2" borderId="1" numFmtId="0" xfId="0" applyFill="1" applyBorder="1" applyAlignment="1">
      <alignment horizontal="center"/>
    </xf>
    <xf fontId="0" fillId="3" borderId="1" numFmtId="0" xfId="0" applyFill="1" applyBorder="1"/>
    <xf fontId="0" fillId="2" borderId="1" numFmtId="0" xfId="0" applyFill="1" applyBorder="1"/>
    <xf fontId="2" fillId="2" borderId="9" numFmtId="0" xfId="0" applyFont="1" applyFill="1" applyBorder="1" applyAlignment="1">
      <alignment horizontal="left" vertical="center" wrapText="1"/>
    </xf>
    <xf fontId="2" fillId="2" borderId="10" numFmtId="0" xfId="0" applyFont="1" applyFill="1" applyBorder="1" applyAlignment="1">
      <alignment horizontal="left" vertical="center" wrapText="1"/>
    </xf>
    <xf fontId="1" fillId="2" borderId="11" numFmtId="0" xfId="0" applyFont="1" applyFill="1" applyBorder="1" applyAlignment="1">
      <alignment horizontal="center" textRotation="90" vertical="center"/>
    </xf>
    <xf fontId="3" fillId="2" borderId="12" numFmtId="14" xfId="0" applyNumberFormat="1" applyFont="1" applyFill="1" applyBorder="1" applyAlignment="1">
      <alignment horizontal="center" textRotation="90" vertical="center"/>
    </xf>
    <xf fontId="3" fillId="4" borderId="12" numFmtId="14" xfId="0" applyNumberFormat="1" applyFont="1" applyFill="1" applyBorder="1" applyAlignment="1">
      <alignment horizontal="center" textRotation="90" vertical="center"/>
    </xf>
    <xf fontId="3" fillId="5" borderId="12" numFmtId="14" xfId="0" applyNumberFormat="1" applyFont="1" applyFill="1" applyBorder="1" applyAlignment="1">
      <alignment horizontal="center" textRotation="90" vertical="center"/>
    </xf>
    <xf fontId="1" fillId="2" borderId="1" numFmtId="0" xfId="0" applyFont="1" applyFill="1" applyBorder="1" applyAlignment="1">
      <alignment horizontal="left" vertical="center" wrapText="1"/>
    </xf>
    <xf fontId="1" fillId="2" borderId="12" numFmtId="0" xfId="0" applyFont="1" applyFill="1" applyBorder="1" applyAlignment="1">
      <alignment horizontal="center" textRotation="90" vertical="center"/>
    </xf>
    <xf fontId="1" fillId="2" borderId="8" numFmtId="0" xfId="0" applyFont="1" applyFill="1" applyBorder="1" applyAlignment="1">
      <alignment horizontal="center" vertical="center"/>
    </xf>
    <xf fontId="1" fillId="2" borderId="7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left" vertical="center" wrapText="1"/>
    </xf>
    <xf fontId="1" fillId="2" borderId="6" numFmtId="0" xfId="0" applyFont="1" applyFill="1" applyBorder="1" applyAlignment="1">
      <alignment horizontal="center"/>
    </xf>
    <xf fontId="1" fillId="2" borderId="7" numFmtId="0" xfId="0" applyFont="1" applyFill="1" applyBorder="1" applyAlignment="1">
      <alignment horizontal="center"/>
    </xf>
    <xf fontId="4" fillId="2" borderId="1" numFmtId="0" xfId="0" applyFont="1" applyFill="1" applyBorder="1" applyAlignment="1">
      <alignment horizontal="left"/>
    </xf>
    <xf fontId="1" fillId="2" borderId="13" numFmtId="0" xfId="0" applyFont="1" applyFill="1" applyBorder="1" applyAlignment="1">
      <alignment horizontal="center" textRotation="90" vertical="center"/>
    </xf>
    <xf fontId="3" fillId="2" borderId="13" numFmtId="14" xfId="0" applyNumberFormat="1" applyFont="1" applyFill="1" applyBorder="1" applyAlignment="1">
      <alignment horizontal="center" textRotation="90" vertical="center"/>
    </xf>
    <xf fontId="3" fillId="4" borderId="13" numFmtId="14" xfId="0" applyNumberFormat="1" applyFont="1" applyFill="1" applyBorder="1" applyAlignment="1">
      <alignment horizontal="center" textRotation="90" vertical="center"/>
    </xf>
    <xf fontId="3" fillId="5" borderId="13" numFmtId="14" xfId="0" applyNumberFormat="1" applyFont="1" applyFill="1" applyBorder="1" applyAlignment="1">
      <alignment horizontal="center" textRotation="90" vertical="center"/>
    </xf>
    <xf fontId="4" fillId="2" borderId="1" numFmtId="0" xfId="0" applyFont="1" applyFill="1" applyBorder="1" applyAlignment="1">
      <alignment horizontal="left" wrapText="1"/>
    </xf>
    <xf fontId="1" fillId="2" borderId="6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2" borderId="1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vertical="center" wrapText="1"/>
    </xf>
    <xf fontId="5" fillId="2" borderId="7" numFmtId="0" xfId="0" applyFont="1" applyFill="1" applyBorder="1" applyAlignment="1">
      <alignment horizontal="center" vertical="center" wrapText="1"/>
    </xf>
    <xf fontId="5" fillId="2" borderId="13" numFmtId="0" xfId="0" applyFont="1" applyFill="1" applyBorder="1" applyAlignment="1">
      <alignment horizontal="center" textRotation="90" vertical="center" wrapText="1"/>
    </xf>
    <xf fontId="1" fillId="2" borderId="13" numFmtId="0" xfId="0" applyFont="1" applyFill="1" applyBorder="1" applyAlignment="1">
      <alignment horizontal="center" vertical="center"/>
    </xf>
    <xf fontId="4" fillId="2" borderId="10" numFmtId="0" xfId="0" applyFont="1" applyFill="1" applyBorder="1" applyAlignment="1">
      <alignment horizontal="center" vertical="center" wrapText="1"/>
    </xf>
    <xf fontId="4" fillId="2" borderId="6" numFmtId="0" xfId="0" applyFont="1" applyFill="1" applyBorder="1" applyAlignment="1">
      <alignment horizontal="center" vertical="center" wrapText="1"/>
    </xf>
    <xf fontId="6" fillId="2" borderId="1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horizontal="center"/>
    </xf>
    <xf fontId="7" fillId="2" borderId="1" numFmtId="0" xfId="0" applyFont="1" applyFill="1" applyBorder="1" applyAlignment="1">
      <alignment vertical="top" wrapText="1"/>
    </xf>
    <xf fontId="1" fillId="0" borderId="1" numFmtId="0" xfId="0" applyFont="1" applyBorder="1" applyAlignment="1">
      <alignment horizontal="center" vertical="top"/>
    </xf>
    <xf fontId="8" fillId="2" borderId="1" numFmtId="164" xfId="1" applyNumberFormat="1" applyFont="1" applyFill="1" applyBorder="1"/>
    <xf fontId="0" fillId="6" borderId="0" numFmtId="0" xfId="0" applyFill="1"/>
    <xf fontId="9" fillId="2" borderId="1" numFmtId="0" xfId="0" applyFont="1" applyFill="1" applyBorder="1" applyAlignment="1">
      <alignment vertical="top" wrapText="1"/>
    </xf>
    <xf fontId="6" fillId="2" borderId="6" numFmtId="0" xfId="0" applyFont="1" applyFill="1" applyBorder="1" applyAlignment="1">
      <alignment horizontal="center" vertical="center" wrapText="1"/>
    </xf>
    <xf fontId="6" fillId="2" borderId="8" numFmtId="0" xfId="0" applyFont="1" applyFill="1" applyBorder="1" applyAlignment="1">
      <alignment horizontal="center" vertical="center" wrapText="1"/>
    </xf>
    <xf fontId="6" fillId="2" borderId="7" numFmtId="0" xfId="0" applyFont="1" applyFill="1" applyBorder="1" applyAlignment="1">
      <alignment horizontal="center" vertical="center" wrapText="1"/>
    </xf>
    <xf fontId="8" fillId="2" borderId="11" numFmtId="164" xfId="1" applyNumberFormat="1" applyFont="1" applyFill="1" applyBorder="1"/>
    <xf fontId="1" fillId="0" borderId="6" numFmtId="0" xfId="0" applyFont="1" applyBorder="1" applyAlignment="1">
      <alignment horizontal="center" vertical="top"/>
    </xf>
    <xf fontId="1" fillId="2" borderId="14" numFmtId="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O1" zoomScale="100" workbookViewId="0">
      <selection activeCell="BI12" activeCellId="0" sqref="BI12"/>
    </sheetView>
  </sheetViews>
  <sheetFormatPr defaultColWidth="3.625" defaultRowHeight="16.5" customHeight="1"/>
  <cols>
    <col min="1" max="1" style="2" width="3.625"/>
    <col customWidth="1" min="2" max="3" style="1" width="21"/>
    <col customWidth="1" min="4" max="4" style="1" width="8"/>
    <col customWidth="1" min="5" max="5" style="1" width="5.625"/>
    <col min="6" max="16384" style="1" width="3.625"/>
  </cols>
  <sheetData>
    <row r="1" ht="16.5" customHeight="1">
      <c r="A1" s="3" t="s">
        <v>0</v>
      </c>
      <c r="B1" s="4" t="s">
        <v>1</v>
      </c>
      <c r="C1" s="4"/>
      <c r="D1" s="5"/>
      <c r="F1" s="6">
        <v>4</v>
      </c>
      <c r="G1" s="7"/>
      <c r="H1" s="7"/>
      <c r="I1" s="7"/>
      <c r="J1" s="8">
        <v>2</v>
      </c>
      <c r="K1" s="9"/>
      <c r="L1" s="8">
        <v>5</v>
      </c>
      <c r="M1" s="10"/>
      <c r="N1" s="10"/>
      <c r="O1" s="10"/>
      <c r="P1" s="9"/>
      <c r="Q1" s="8">
        <v>5</v>
      </c>
      <c r="R1" s="10"/>
      <c r="S1" s="10"/>
      <c r="T1" s="10"/>
      <c r="U1" s="9"/>
      <c r="V1" s="8">
        <v>5</v>
      </c>
      <c r="W1" s="10"/>
      <c r="X1" s="10"/>
      <c r="Y1" s="10"/>
      <c r="Z1" s="9"/>
      <c r="AA1" s="8">
        <v>5</v>
      </c>
      <c r="AB1" s="10"/>
      <c r="AC1" s="10"/>
      <c r="AD1" s="10"/>
      <c r="AE1" s="9"/>
      <c r="AF1" s="8">
        <v>5</v>
      </c>
      <c r="AG1" s="10"/>
      <c r="AH1" s="10"/>
      <c r="AI1" s="10"/>
      <c r="AJ1" s="9"/>
      <c r="AK1" s="8">
        <v>4</v>
      </c>
      <c r="AL1" s="10"/>
      <c r="AM1" s="10"/>
      <c r="AN1" s="10"/>
      <c r="AO1" s="8">
        <v>2</v>
      </c>
      <c r="AP1" s="9"/>
      <c r="AQ1" s="8">
        <v>6</v>
      </c>
      <c r="AR1" s="10"/>
      <c r="AS1" s="10"/>
      <c r="AT1" s="10"/>
      <c r="AU1" s="10"/>
      <c r="AV1" s="9"/>
      <c r="AW1" s="8">
        <v>6</v>
      </c>
      <c r="AX1" s="10"/>
      <c r="AY1" s="10"/>
      <c r="AZ1" s="10"/>
      <c r="BA1" s="10"/>
      <c r="BB1" s="9"/>
      <c r="BC1" s="11">
        <v>1</v>
      </c>
      <c r="BD1" s="11">
        <v>1</v>
      </c>
      <c r="BE1" s="8">
        <v>4</v>
      </c>
      <c r="BF1" s="10"/>
      <c r="BG1" s="10"/>
      <c r="BH1" s="9"/>
      <c r="BI1" s="11">
        <v>1</v>
      </c>
      <c r="BJ1" s="8">
        <v>4</v>
      </c>
      <c r="BK1" s="10"/>
      <c r="BL1" s="10"/>
      <c r="BM1" s="9"/>
      <c r="BN1" s="12"/>
      <c r="BO1" s="12"/>
      <c r="BP1" s="12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">
        <f>SUM(E1:BZ1)</f>
        <v>60</v>
      </c>
    </row>
    <row r="2" ht="11.25" customHeight="1">
      <c r="A2" s="3"/>
      <c r="B2" s="14"/>
      <c r="C2" s="14"/>
      <c r="D2" s="15"/>
      <c r="E2" s="16" t="s">
        <v>2</v>
      </c>
      <c r="F2" s="17">
        <v>46202</v>
      </c>
      <c r="G2" s="17">
        <v>46202</v>
      </c>
      <c r="H2" s="17">
        <v>46202</v>
      </c>
      <c r="I2" s="17">
        <v>46202</v>
      </c>
      <c r="J2" s="17">
        <v>46206</v>
      </c>
      <c r="K2" s="17">
        <v>46206</v>
      </c>
      <c r="L2" s="17">
        <v>46209</v>
      </c>
      <c r="M2" s="17">
        <v>46209</v>
      </c>
      <c r="N2" s="17">
        <v>46209</v>
      </c>
      <c r="O2" s="17">
        <v>46209</v>
      </c>
      <c r="P2" s="17">
        <v>46209</v>
      </c>
      <c r="Q2" s="17">
        <v>46216</v>
      </c>
      <c r="R2" s="17">
        <v>46216</v>
      </c>
      <c r="S2" s="17">
        <v>46216</v>
      </c>
      <c r="T2" s="17">
        <v>46216</v>
      </c>
      <c r="U2" s="17">
        <v>46216</v>
      </c>
      <c r="V2" s="17">
        <v>46223</v>
      </c>
      <c r="W2" s="17">
        <v>46223</v>
      </c>
      <c r="X2" s="17">
        <v>46223</v>
      </c>
      <c r="Y2" s="17">
        <v>46223</v>
      </c>
      <c r="Z2" s="17">
        <v>46223</v>
      </c>
      <c r="AA2" s="17">
        <v>46230</v>
      </c>
      <c r="AB2" s="17">
        <v>46230</v>
      </c>
      <c r="AC2" s="17">
        <v>46230</v>
      </c>
      <c r="AD2" s="18">
        <v>46230</v>
      </c>
      <c r="AE2" s="18">
        <v>46230</v>
      </c>
      <c r="AF2" s="17">
        <v>46279</v>
      </c>
      <c r="AG2" s="17">
        <v>46279</v>
      </c>
      <c r="AH2" s="17">
        <v>46279</v>
      </c>
      <c r="AI2" s="17">
        <v>46279</v>
      </c>
      <c r="AJ2" s="17">
        <v>46279</v>
      </c>
      <c r="AK2" s="17">
        <v>46286</v>
      </c>
      <c r="AL2" s="17">
        <v>46286</v>
      </c>
      <c r="AM2" s="19">
        <v>46286</v>
      </c>
      <c r="AN2" s="19">
        <v>46286</v>
      </c>
      <c r="AO2" s="17">
        <v>46291</v>
      </c>
      <c r="AP2" s="17">
        <v>46291</v>
      </c>
      <c r="AQ2" s="17">
        <v>46293</v>
      </c>
      <c r="AR2" s="17">
        <v>46293</v>
      </c>
      <c r="AS2" s="17">
        <v>46293</v>
      </c>
      <c r="AT2" s="17">
        <v>46293</v>
      </c>
      <c r="AU2" s="17">
        <v>46293</v>
      </c>
      <c r="AV2" s="17">
        <v>46293</v>
      </c>
      <c r="AW2" s="17" t="s">
        <v>3</v>
      </c>
      <c r="AX2" s="17" t="s">
        <v>3</v>
      </c>
      <c r="AY2" s="17" t="s">
        <v>3</v>
      </c>
      <c r="AZ2" s="17" t="s">
        <v>3</v>
      </c>
      <c r="BA2" s="17" t="s">
        <v>3</v>
      </c>
      <c r="BB2" s="17" t="s">
        <v>3</v>
      </c>
      <c r="BC2" s="17" t="s">
        <v>4</v>
      </c>
      <c r="BD2" s="17" t="s">
        <v>5</v>
      </c>
      <c r="BE2" s="17" t="s">
        <v>6</v>
      </c>
      <c r="BF2" s="17" t="s">
        <v>6</v>
      </c>
      <c r="BG2" s="17" t="s">
        <v>6</v>
      </c>
      <c r="BH2" s="17" t="s">
        <v>6</v>
      </c>
      <c r="BI2" s="17" t="s">
        <v>7</v>
      </c>
      <c r="BJ2" s="17" t="s">
        <v>8</v>
      </c>
      <c r="BK2" s="17" t="s">
        <v>8</v>
      </c>
      <c r="BL2" s="17" t="s">
        <v>8</v>
      </c>
      <c r="BM2" s="17" t="s">
        <v>8</v>
      </c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</row>
    <row r="3" ht="23.949999999999999" customHeight="1">
      <c r="A3" s="20" t="s">
        <v>9</v>
      </c>
      <c r="B3" s="20"/>
      <c r="C3" s="20"/>
      <c r="D3" s="20"/>
      <c r="E3" s="21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8"/>
      <c r="AE3" s="18"/>
      <c r="AF3" s="17"/>
      <c r="AG3" s="17"/>
      <c r="AH3" s="17"/>
      <c r="AI3" s="17"/>
      <c r="AJ3" s="17"/>
      <c r="AK3" s="17"/>
      <c r="AL3" s="17"/>
      <c r="AM3" s="19"/>
      <c r="AN3" s="19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</row>
    <row r="4" ht="24.800000000000001" customHeight="1">
      <c r="A4" s="20" t="s">
        <v>10</v>
      </c>
      <c r="B4" s="20"/>
      <c r="C4" s="22" t="s">
        <v>11</v>
      </c>
      <c r="D4" s="23"/>
      <c r="E4" s="21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8"/>
      <c r="AE4" s="18"/>
      <c r="AF4" s="17"/>
      <c r="AG4" s="17"/>
      <c r="AH4" s="17"/>
      <c r="AI4" s="17"/>
      <c r="AJ4" s="17"/>
      <c r="AK4" s="17"/>
      <c r="AL4" s="17"/>
      <c r="AM4" s="19"/>
      <c r="AN4" s="19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</row>
    <row r="5" ht="16.5" customHeight="1">
      <c r="A5" s="24" t="s">
        <v>12</v>
      </c>
      <c r="B5" s="24"/>
      <c r="C5" s="25">
        <v>60</v>
      </c>
      <c r="D5" s="26"/>
      <c r="E5" s="21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8"/>
      <c r="AE5" s="18"/>
      <c r="AF5" s="17"/>
      <c r="AG5" s="17"/>
      <c r="AH5" s="17"/>
      <c r="AI5" s="17"/>
      <c r="AJ5" s="17"/>
      <c r="AK5" s="17"/>
      <c r="AL5" s="17"/>
      <c r="AM5" s="19"/>
      <c r="AN5" s="19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</row>
    <row r="6" ht="16.5" customHeight="1">
      <c r="A6" s="24" t="s">
        <v>13</v>
      </c>
      <c r="B6" s="24"/>
      <c r="C6" s="25">
        <v>6</v>
      </c>
      <c r="D6" s="26"/>
      <c r="E6" s="21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8"/>
      <c r="AE6" s="18"/>
      <c r="AF6" s="17"/>
      <c r="AG6" s="17"/>
      <c r="AH6" s="17"/>
      <c r="AI6" s="17"/>
      <c r="AJ6" s="17"/>
      <c r="AK6" s="17"/>
      <c r="AL6" s="17"/>
      <c r="AM6" s="19"/>
      <c r="AN6" s="19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</row>
    <row r="7" ht="16.5" customHeight="1">
      <c r="A7" s="27" t="s">
        <v>14</v>
      </c>
      <c r="B7" s="27"/>
      <c r="C7" s="25">
        <v>9</v>
      </c>
      <c r="D7" s="26"/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30"/>
      <c r="AE7" s="30"/>
      <c r="AF7" s="29"/>
      <c r="AG7" s="29"/>
      <c r="AH7" s="29"/>
      <c r="AI7" s="29"/>
      <c r="AJ7" s="29"/>
      <c r="AK7" s="29"/>
      <c r="AL7" s="29"/>
      <c r="AM7" s="31"/>
      <c r="AN7" s="31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</row>
    <row r="8" ht="23.949999999999999" customHeight="1">
      <c r="A8" s="32" t="s">
        <v>15</v>
      </c>
      <c r="B8" s="32"/>
      <c r="C8" s="33">
        <f>SUM(C5:D7)</f>
        <v>75</v>
      </c>
      <c r="D8" s="23"/>
      <c r="E8" s="34"/>
      <c r="F8" s="35">
        <v>1</v>
      </c>
      <c r="G8" s="35">
        <v>2</v>
      </c>
      <c r="H8" s="35">
        <v>3</v>
      </c>
      <c r="I8" s="35">
        <v>4</v>
      </c>
      <c r="J8" s="35">
        <v>5</v>
      </c>
      <c r="K8" s="35">
        <v>6</v>
      </c>
      <c r="L8" s="35">
        <v>7</v>
      </c>
      <c r="M8" s="35">
        <v>8</v>
      </c>
      <c r="N8" s="35">
        <v>9</v>
      </c>
      <c r="O8" s="35">
        <v>10</v>
      </c>
      <c r="P8" s="35">
        <v>11</v>
      </c>
      <c r="Q8" s="35">
        <v>12</v>
      </c>
      <c r="R8" s="35">
        <v>13</v>
      </c>
      <c r="S8" s="35">
        <v>14</v>
      </c>
      <c r="T8" s="35">
        <v>15</v>
      </c>
      <c r="U8" s="35">
        <v>16</v>
      </c>
      <c r="V8" s="35">
        <v>17</v>
      </c>
      <c r="W8" s="35">
        <v>18</v>
      </c>
      <c r="X8" s="35">
        <v>19</v>
      </c>
      <c r="Y8" s="35">
        <v>20</v>
      </c>
      <c r="Z8" s="35">
        <v>21</v>
      </c>
      <c r="AA8" s="35">
        <v>22</v>
      </c>
      <c r="AB8" s="35">
        <v>23</v>
      </c>
      <c r="AC8" s="35">
        <v>24</v>
      </c>
      <c r="AD8" s="35">
        <v>25</v>
      </c>
      <c r="AE8" s="35">
        <v>26</v>
      </c>
      <c r="AF8" s="35">
        <v>27</v>
      </c>
      <c r="AG8" s="35">
        <v>28</v>
      </c>
      <c r="AH8" s="35">
        <v>29</v>
      </c>
      <c r="AI8" s="35">
        <v>30</v>
      </c>
      <c r="AJ8" s="35">
        <v>31</v>
      </c>
      <c r="AK8" s="35">
        <v>32</v>
      </c>
      <c r="AL8" s="35">
        <v>33</v>
      </c>
      <c r="AM8" s="35">
        <v>34</v>
      </c>
      <c r="AN8" s="35">
        <v>35</v>
      </c>
      <c r="AO8" s="35">
        <v>38</v>
      </c>
      <c r="AP8" s="35">
        <v>39</v>
      </c>
      <c r="AQ8" s="35">
        <v>40</v>
      </c>
      <c r="AR8" s="35">
        <v>41</v>
      </c>
      <c r="AS8" s="35">
        <v>42</v>
      </c>
      <c r="AT8" s="35">
        <v>43</v>
      </c>
      <c r="AU8" s="35">
        <v>44</v>
      </c>
      <c r="AV8" s="35">
        <v>45</v>
      </c>
      <c r="AW8" s="35">
        <v>46</v>
      </c>
      <c r="AX8" s="35">
        <v>47</v>
      </c>
      <c r="AY8" s="35">
        <v>48</v>
      </c>
      <c r="AZ8" s="35">
        <v>49</v>
      </c>
      <c r="BA8" s="35">
        <v>50</v>
      </c>
      <c r="BB8" s="35">
        <v>51</v>
      </c>
      <c r="BC8" s="35">
        <v>52</v>
      </c>
      <c r="BD8" s="35">
        <v>53</v>
      </c>
      <c r="BE8" s="35">
        <v>54</v>
      </c>
      <c r="BF8" s="35">
        <v>55</v>
      </c>
      <c r="BG8" s="35">
        <v>56</v>
      </c>
      <c r="BH8" s="35">
        <v>57</v>
      </c>
      <c r="BI8" s="35">
        <v>58</v>
      </c>
      <c r="BJ8" s="35">
        <v>59</v>
      </c>
      <c r="BK8" s="35">
        <v>60</v>
      </c>
      <c r="BL8" s="35">
        <v>61</v>
      </c>
      <c r="BM8" s="35">
        <v>62</v>
      </c>
      <c r="BN8" s="35">
        <v>63</v>
      </c>
      <c r="BO8" s="35">
        <v>64</v>
      </c>
      <c r="BP8" s="35">
        <v>65</v>
      </c>
      <c r="BQ8" s="35">
        <v>66</v>
      </c>
      <c r="BR8" s="35">
        <v>67</v>
      </c>
      <c r="BS8" s="35">
        <v>68</v>
      </c>
      <c r="BT8" s="35">
        <v>69</v>
      </c>
      <c r="BU8" s="35">
        <v>70</v>
      </c>
      <c r="BV8" s="35">
        <v>71</v>
      </c>
      <c r="BW8" s="35">
        <v>72</v>
      </c>
      <c r="BX8" s="35">
        <v>73</v>
      </c>
      <c r="BY8" s="35">
        <v>74</v>
      </c>
      <c r="BZ8" s="35">
        <v>75</v>
      </c>
    </row>
    <row r="9" ht="16.5" customHeight="1">
      <c r="A9" s="36" t="s">
        <v>16</v>
      </c>
      <c r="B9" s="37" t="s">
        <v>17</v>
      </c>
      <c r="C9" s="38" t="s">
        <v>18</v>
      </c>
      <c r="D9" s="37"/>
      <c r="E9" s="39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</row>
    <row r="10" ht="16.5" customHeight="1">
      <c r="A10" s="36"/>
      <c r="B10" s="37"/>
      <c r="C10" s="41"/>
      <c r="D10" s="37" t="s">
        <v>19</v>
      </c>
      <c r="E10" s="42" t="s">
        <v>20</v>
      </c>
      <c r="F10" s="43">
        <v>1</v>
      </c>
      <c r="G10" s="43">
        <v>1</v>
      </c>
      <c r="H10" s="43">
        <v>1</v>
      </c>
      <c r="I10" s="43">
        <v>1</v>
      </c>
      <c r="J10" s="43">
        <v>1</v>
      </c>
      <c r="K10" s="43">
        <v>1</v>
      </c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>
        <v>1</v>
      </c>
      <c r="W10" s="43">
        <v>1</v>
      </c>
      <c r="X10" s="43">
        <v>1</v>
      </c>
      <c r="Y10" s="43">
        <v>1</v>
      </c>
      <c r="Z10" s="43">
        <v>1</v>
      </c>
      <c r="AA10" s="43">
        <v>1</v>
      </c>
      <c r="AB10" s="43">
        <v>1</v>
      </c>
      <c r="AC10" s="43">
        <v>1</v>
      </c>
      <c r="AD10" s="43">
        <v>1</v>
      </c>
      <c r="AE10" s="43">
        <v>1</v>
      </c>
      <c r="AF10" s="43">
        <v>1</v>
      </c>
      <c r="AG10" s="43">
        <v>1</v>
      </c>
      <c r="AH10" s="43">
        <v>1</v>
      </c>
      <c r="AI10" s="43">
        <v>1</v>
      </c>
      <c r="AJ10" s="43">
        <v>1</v>
      </c>
      <c r="AK10" s="43">
        <v>1</v>
      </c>
      <c r="AL10" s="43">
        <v>1</v>
      </c>
      <c r="AM10" s="43">
        <v>1</v>
      </c>
      <c r="AN10" s="43">
        <v>1</v>
      </c>
      <c r="AO10" s="43">
        <v>1</v>
      </c>
      <c r="AP10" s="43">
        <v>1</v>
      </c>
      <c r="AQ10" s="43">
        <v>1</v>
      </c>
      <c r="AR10" s="43">
        <v>1</v>
      </c>
      <c r="AS10" s="43">
        <v>1</v>
      </c>
      <c r="AT10" s="43">
        <v>1</v>
      </c>
      <c r="AU10" s="43">
        <v>1</v>
      </c>
      <c r="AV10" s="43">
        <v>1</v>
      </c>
      <c r="AW10" s="43">
        <v>1</v>
      </c>
      <c r="AX10" s="43">
        <v>1</v>
      </c>
      <c r="AY10" s="43">
        <v>1</v>
      </c>
      <c r="AZ10" s="43">
        <v>1</v>
      </c>
      <c r="BA10" s="43">
        <v>1</v>
      </c>
      <c r="BB10" s="43">
        <v>1</v>
      </c>
      <c r="BC10" s="43">
        <v>1</v>
      </c>
      <c r="BD10" s="43">
        <v>1</v>
      </c>
      <c r="BE10" s="43">
        <v>1</v>
      </c>
      <c r="BF10" s="43">
        <v>1</v>
      </c>
      <c r="BG10" s="43">
        <v>1</v>
      </c>
      <c r="BH10" s="43">
        <v>1</v>
      </c>
      <c r="BI10" s="43">
        <v>1</v>
      </c>
      <c r="BJ10" s="43">
        <v>1</v>
      </c>
      <c r="BK10" s="43">
        <v>1</v>
      </c>
      <c r="BL10" s="43">
        <v>1</v>
      </c>
      <c r="BM10" s="43">
        <v>1</v>
      </c>
      <c r="BN10" s="43">
        <v>1</v>
      </c>
      <c r="BO10" s="43">
        <v>1</v>
      </c>
      <c r="BP10" s="43">
        <v>1</v>
      </c>
      <c r="BQ10" s="43">
        <v>1</v>
      </c>
      <c r="BR10" s="43">
        <v>1</v>
      </c>
      <c r="BS10" s="43">
        <v>1</v>
      </c>
      <c r="BT10" s="43">
        <v>1</v>
      </c>
      <c r="BU10" s="43">
        <v>1</v>
      </c>
      <c r="BV10" s="43">
        <v>1</v>
      </c>
      <c r="BW10" s="43">
        <v>1</v>
      </c>
      <c r="BX10" s="43">
        <v>1</v>
      </c>
      <c r="BY10" s="43">
        <v>1</v>
      </c>
      <c r="BZ10" s="43">
        <v>1</v>
      </c>
    </row>
    <row r="11" ht="16.5" customHeight="1">
      <c r="A11" s="44">
        <v>1</v>
      </c>
      <c r="B11" s="45" t="s">
        <v>21</v>
      </c>
      <c r="C11" s="45" t="s">
        <v>22</v>
      </c>
      <c r="D11" s="46">
        <f t="shared" ref="D11:D28" si="0">COUNT(F11:BZ11)</f>
        <v>4</v>
      </c>
      <c r="E11" s="47"/>
      <c r="F11" s="43"/>
      <c r="G11" s="43"/>
      <c r="H11" s="43"/>
      <c r="I11" s="43"/>
      <c r="J11" s="43">
        <v>0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>
        <v>0</v>
      </c>
      <c r="AX11" s="43"/>
      <c r="AY11" s="43"/>
      <c r="AZ11" s="43"/>
      <c r="BA11" s="43"/>
      <c r="BB11" s="43"/>
      <c r="BC11" s="43">
        <v>0</v>
      </c>
      <c r="BD11" s="43"/>
      <c r="BE11" s="43"/>
      <c r="BF11" s="43"/>
      <c r="BG11" s="43"/>
      <c r="BH11" s="43"/>
      <c r="BI11" s="43">
        <v>0</v>
      </c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</row>
    <row r="12" ht="16.5" customHeight="1">
      <c r="A12" s="44">
        <v>2</v>
      </c>
      <c r="B12" s="45" t="s">
        <v>23</v>
      </c>
      <c r="C12" s="45" t="s">
        <v>24</v>
      </c>
      <c r="D12" s="46">
        <f t="shared" si="0"/>
        <v>0</v>
      </c>
      <c r="E12" s="47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</row>
    <row r="13" ht="16.5" customHeight="1">
      <c r="A13" s="44">
        <v>3</v>
      </c>
      <c r="B13" s="45" t="s">
        <v>25</v>
      </c>
      <c r="C13" s="45" t="s">
        <v>26</v>
      </c>
      <c r="D13" s="46">
        <f t="shared" si="0"/>
        <v>18</v>
      </c>
      <c r="E13" s="47"/>
      <c r="F13" s="43"/>
      <c r="G13" s="43"/>
      <c r="H13" s="43"/>
      <c r="I13" s="43"/>
      <c r="J13" s="43">
        <v>0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>
        <v>0</v>
      </c>
      <c r="BD13" s="43"/>
      <c r="BE13" s="43"/>
      <c r="BF13" s="43"/>
      <c r="BG13" s="43"/>
      <c r="BH13" s="43"/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D13" s="48"/>
      <c r="CE13" s="1" t="s">
        <v>27</v>
      </c>
    </row>
    <row r="14" ht="16.5" customHeight="1">
      <c r="A14" s="44">
        <v>4</v>
      </c>
      <c r="B14" s="45" t="s">
        <v>28</v>
      </c>
      <c r="C14" s="49" t="s">
        <v>29</v>
      </c>
      <c r="D14" s="46">
        <f t="shared" si="0"/>
        <v>25</v>
      </c>
      <c r="E14" s="47"/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/>
      <c r="Q14" s="43"/>
      <c r="R14" s="43"/>
      <c r="S14" s="43"/>
      <c r="T14" s="43"/>
      <c r="U14" s="43"/>
      <c r="V14" s="43">
        <v>0</v>
      </c>
      <c r="W14" s="43">
        <v>0</v>
      </c>
      <c r="X14" s="43"/>
      <c r="Y14" s="43"/>
      <c r="Z14" s="43"/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>
        <v>0</v>
      </c>
      <c r="AX14" s="43"/>
      <c r="AY14" s="43"/>
      <c r="AZ14" s="43"/>
      <c r="BA14" s="43"/>
      <c r="BB14" s="43"/>
      <c r="BC14" s="43">
        <v>0</v>
      </c>
      <c r="BD14" s="43"/>
      <c r="BE14" s="43"/>
      <c r="BF14" s="43"/>
      <c r="BG14" s="43"/>
      <c r="BH14" s="43"/>
      <c r="BI14" s="43">
        <v>0</v>
      </c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</row>
    <row r="15" ht="16.5" customHeight="1">
      <c r="A15" s="44">
        <v>5</v>
      </c>
      <c r="B15" s="45" t="s">
        <v>30</v>
      </c>
      <c r="C15" s="45" t="s">
        <v>31</v>
      </c>
      <c r="D15" s="46">
        <f t="shared" si="0"/>
        <v>22</v>
      </c>
      <c r="E15" s="47"/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/>
      <c r="R15" s="43"/>
      <c r="S15" s="43"/>
      <c r="T15" s="43"/>
      <c r="U15" s="43"/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>
        <v>0</v>
      </c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</row>
    <row r="16" ht="16.5" customHeight="1">
      <c r="A16" s="44">
        <v>6</v>
      </c>
      <c r="B16" s="45" t="s">
        <v>32</v>
      </c>
      <c r="C16" s="45" t="s">
        <v>33</v>
      </c>
      <c r="D16" s="46">
        <f t="shared" si="0"/>
        <v>5</v>
      </c>
      <c r="E16" s="47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</row>
    <row r="17" ht="16.5" customHeight="1">
      <c r="A17" s="44">
        <v>7</v>
      </c>
      <c r="B17" s="45" t="s">
        <v>34</v>
      </c>
      <c r="C17" s="45" t="s">
        <v>35</v>
      </c>
      <c r="D17" s="46">
        <f t="shared" si="0"/>
        <v>11</v>
      </c>
      <c r="E17" s="47"/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50" t="s">
        <v>36</v>
      </c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2"/>
    </row>
    <row r="18" ht="16.5" customHeight="1">
      <c r="A18" s="44">
        <v>8</v>
      </c>
      <c r="B18" s="45" t="s">
        <v>28</v>
      </c>
      <c r="C18" s="45" t="s">
        <v>37</v>
      </c>
      <c r="D18" s="46">
        <f t="shared" si="0"/>
        <v>8</v>
      </c>
      <c r="E18" s="47"/>
      <c r="F18" s="43"/>
      <c r="G18" s="43"/>
      <c r="H18" s="43">
        <v>0</v>
      </c>
      <c r="I18" s="43">
        <v>0</v>
      </c>
      <c r="J18" s="43">
        <v>0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</row>
    <row r="19" ht="16.5" customHeight="1">
      <c r="A19" s="44">
        <v>9</v>
      </c>
      <c r="B19" s="45" t="s">
        <v>28</v>
      </c>
      <c r="C19" s="45" t="s">
        <v>38</v>
      </c>
      <c r="D19" s="46">
        <f t="shared" si="0"/>
        <v>17</v>
      </c>
      <c r="E19" s="47"/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>
        <v>0</v>
      </c>
      <c r="W19" s="43">
        <v>0</v>
      </c>
      <c r="X19" s="43"/>
      <c r="Y19" s="43"/>
      <c r="Z19" s="43"/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>
        <v>0</v>
      </c>
      <c r="BK19" s="43">
        <v>0</v>
      </c>
      <c r="BL19" s="43">
        <v>0</v>
      </c>
      <c r="BM19" s="43">
        <v>0</v>
      </c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</row>
    <row r="20" ht="16.5" customHeight="1">
      <c r="A20" s="44">
        <v>10</v>
      </c>
      <c r="B20" s="45" t="s">
        <v>28</v>
      </c>
      <c r="C20" s="45" t="s">
        <v>39</v>
      </c>
      <c r="D20" s="46">
        <f t="shared" si="0"/>
        <v>12</v>
      </c>
      <c r="E20" s="47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>
        <v>0</v>
      </c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</row>
    <row r="21" ht="16.5" customHeight="1">
      <c r="A21" s="44">
        <v>11</v>
      </c>
      <c r="B21" s="45" t="s">
        <v>40</v>
      </c>
      <c r="C21" s="45" t="s">
        <v>41</v>
      </c>
      <c r="D21" s="46">
        <f t="shared" si="0"/>
        <v>26</v>
      </c>
      <c r="E21" s="47"/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50" t="s">
        <v>42</v>
      </c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2"/>
    </row>
    <row r="22" ht="16.5" customHeight="1">
      <c r="A22" s="44">
        <v>12</v>
      </c>
      <c r="B22" s="49" t="s">
        <v>43</v>
      </c>
      <c r="C22" s="45" t="s">
        <v>44</v>
      </c>
      <c r="D22" s="46">
        <f t="shared" si="0"/>
        <v>9</v>
      </c>
      <c r="E22" s="47"/>
      <c r="F22" s="43"/>
      <c r="G22" s="43"/>
      <c r="H22" s="43"/>
      <c r="I22" s="43"/>
      <c r="J22" s="43">
        <v>0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>
        <v>0</v>
      </c>
      <c r="AX22" s="43"/>
      <c r="AY22" s="43"/>
      <c r="AZ22" s="43"/>
      <c r="BA22" s="43"/>
      <c r="BB22" s="43"/>
      <c r="BC22" s="43">
        <v>0</v>
      </c>
      <c r="BD22" s="43"/>
      <c r="BE22" s="43"/>
      <c r="BF22" s="43"/>
      <c r="BG22" s="43"/>
      <c r="BH22" s="43"/>
      <c r="BI22" s="43">
        <v>0</v>
      </c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</row>
    <row r="23" ht="16.5" customHeight="1">
      <c r="A23" s="44">
        <v>13</v>
      </c>
      <c r="B23" s="45" t="s">
        <v>45</v>
      </c>
      <c r="C23" s="45" t="s">
        <v>46</v>
      </c>
      <c r="D23" s="46">
        <f t="shared" si="0"/>
        <v>26</v>
      </c>
      <c r="E23" s="47"/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50" t="s">
        <v>42</v>
      </c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</row>
    <row r="24" ht="16.5" customHeight="1">
      <c r="A24" s="44">
        <v>14</v>
      </c>
      <c r="B24" s="45" t="s">
        <v>47</v>
      </c>
      <c r="C24" s="45" t="s">
        <v>48</v>
      </c>
      <c r="D24" s="46">
        <f t="shared" si="0"/>
        <v>15</v>
      </c>
      <c r="E24" s="47"/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>
        <v>0</v>
      </c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</row>
    <row r="25" ht="16.5" customHeight="1">
      <c r="A25" s="44">
        <v>15</v>
      </c>
      <c r="B25" s="45" t="s">
        <v>49</v>
      </c>
      <c r="C25" s="45" t="s">
        <v>50</v>
      </c>
      <c r="D25" s="46">
        <f t="shared" si="0"/>
        <v>23</v>
      </c>
      <c r="E25" s="47"/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>
        <v>0</v>
      </c>
      <c r="AX25" s="43"/>
      <c r="AY25" s="43"/>
      <c r="AZ25" s="43"/>
      <c r="BA25" s="43"/>
      <c r="BB25" s="43"/>
      <c r="BC25" s="43">
        <v>0</v>
      </c>
      <c r="BD25" s="43"/>
      <c r="BE25" s="43"/>
      <c r="BF25" s="43"/>
      <c r="BG25" s="43"/>
      <c r="BH25" s="43"/>
      <c r="BI25" s="43">
        <v>0</v>
      </c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</row>
    <row r="26" ht="16.5" customHeight="1">
      <c r="A26" s="44">
        <v>16</v>
      </c>
      <c r="B26" s="45" t="s">
        <v>51</v>
      </c>
      <c r="C26" s="45" t="s">
        <v>52</v>
      </c>
      <c r="D26" s="46">
        <f t="shared" si="0"/>
        <v>27</v>
      </c>
      <c r="E26" s="47"/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/>
      <c r="R26" s="43"/>
      <c r="S26" s="43"/>
      <c r="T26" s="43"/>
      <c r="U26" s="43"/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>
        <v>0</v>
      </c>
      <c r="BD26" s="43"/>
      <c r="BE26" s="43"/>
      <c r="BF26" s="43"/>
      <c r="BG26" s="43"/>
      <c r="BH26" s="43"/>
      <c r="BI26" s="43">
        <v>0</v>
      </c>
      <c r="BJ26" s="43">
        <v>0</v>
      </c>
      <c r="BK26" s="43">
        <v>0</v>
      </c>
      <c r="BL26" s="43">
        <v>0</v>
      </c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</row>
    <row r="27" ht="16.5" customHeight="1">
      <c r="A27" s="44">
        <v>17</v>
      </c>
      <c r="B27" s="45" t="s">
        <v>53</v>
      </c>
      <c r="C27" s="45" t="s">
        <v>54</v>
      </c>
      <c r="D27" s="46">
        <f t="shared" si="0"/>
        <v>34</v>
      </c>
      <c r="E27" s="53"/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>
        <v>0</v>
      </c>
      <c r="AX27" s="43"/>
      <c r="AY27" s="43"/>
      <c r="AZ27" s="43"/>
      <c r="BA27" s="43"/>
      <c r="BB27" s="43"/>
      <c r="BC27" s="43">
        <v>0</v>
      </c>
      <c r="BD27" s="43"/>
      <c r="BE27" s="43"/>
      <c r="BF27" s="43"/>
      <c r="BG27" s="43"/>
      <c r="BH27" s="43"/>
      <c r="BI27" s="43">
        <v>0</v>
      </c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</row>
    <row r="28" ht="16.5" customHeight="1">
      <c r="A28" s="44">
        <v>18</v>
      </c>
      <c r="B28" s="45" t="s">
        <v>55</v>
      </c>
      <c r="C28" s="45" t="s">
        <v>56</v>
      </c>
      <c r="D28" s="54">
        <f t="shared" si="0"/>
        <v>0</v>
      </c>
      <c r="E28" s="55" t="s">
        <v>57</v>
      </c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</row>
  </sheetData>
  <mergeCells count="180">
    <mergeCell ref="A1:A2"/>
    <mergeCell ref="B1:D2"/>
    <mergeCell ref="F1:I1"/>
    <mergeCell ref="J1:K1"/>
    <mergeCell ref="L1:P1"/>
    <mergeCell ref="Q1:U1"/>
    <mergeCell ref="V1:Z1"/>
    <mergeCell ref="AA1:AE1"/>
    <mergeCell ref="AF1:AJ1"/>
    <mergeCell ref="AK1:AN1"/>
    <mergeCell ref="AO1:AP1"/>
    <mergeCell ref="AQ1:AV1"/>
    <mergeCell ref="AW1:BB1"/>
    <mergeCell ref="BE1:BH1"/>
    <mergeCell ref="BJ1:BM1"/>
    <mergeCell ref="E2:E7"/>
    <mergeCell ref="F2:F7"/>
    <mergeCell ref="G2:G7"/>
    <mergeCell ref="H2:H7"/>
    <mergeCell ref="I2:I7"/>
    <mergeCell ref="J2:J7"/>
    <mergeCell ref="K2:K7"/>
    <mergeCell ref="L2:L7"/>
    <mergeCell ref="M2:M7"/>
    <mergeCell ref="N2:N7"/>
    <mergeCell ref="O2:O7"/>
    <mergeCell ref="P2:P7"/>
    <mergeCell ref="Q2:Q7"/>
    <mergeCell ref="R2:R7"/>
    <mergeCell ref="S2:S7"/>
    <mergeCell ref="T2:T7"/>
    <mergeCell ref="U2:U7"/>
    <mergeCell ref="V2:V7"/>
    <mergeCell ref="W2:W7"/>
    <mergeCell ref="X2:X7"/>
    <mergeCell ref="Y2:Y7"/>
    <mergeCell ref="Z2:Z7"/>
    <mergeCell ref="AA2:AA7"/>
    <mergeCell ref="AB2:AB7"/>
    <mergeCell ref="AC2:AC7"/>
    <mergeCell ref="AD2:AD7"/>
    <mergeCell ref="AE2:AE7"/>
    <mergeCell ref="AF2:AF7"/>
    <mergeCell ref="AG2:AG7"/>
    <mergeCell ref="AH2:AH7"/>
    <mergeCell ref="AI2:AI7"/>
    <mergeCell ref="AJ2:AJ7"/>
    <mergeCell ref="AK2:AK7"/>
    <mergeCell ref="AL2:AL7"/>
    <mergeCell ref="AM2:AM7"/>
    <mergeCell ref="AN2:AN7"/>
    <mergeCell ref="AO2:AO7"/>
    <mergeCell ref="AP2:AP7"/>
    <mergeCell ref="AQ2:AQ7"/>
    <mergeCell ref="AR2:AR7"/>
    <mergeCell ref="AS2:AS7"/>
    <mergeCell ref="AT2:AT7"/>
    <mergeCell ref="AU2:AU7"/>
    <mergeCell ref="AV2:AV7"/>
    <mergeCell ref="AW2:AW7"/>
    <mergeCell ref="AX2:AX7"/>
    <mergeCell ref="AY2:AY7"/>
    <mergeCell ref="AZ2:AZ7"/>
    <mergeCell ref="BA2:BA7"/>
    <mergeCell ref="BB2:BB7"/>
    <mergeCell ref="BC2:BC7"/>
    <mergeCell ref="BD2:BD7"/>
    <mergeCell ref="BE2:BE7"/>
    <mergeCell ref="BF2:BF7"/>
    <mergeCell ref="BG2:BG7"/>
    <mergeCell ref="BH2:BH7"/>
    <mergeCell ref="BI2:BI7"/>
    <mergeCell ref="BJ2:BJ7"/>
    <mergeCell ref="BK2:BK7"/>
    <mergeCell ref="BL2:BL7"/>
    <mergeCell ref="BM2:BM7"/>
    <mergeCell ref="BN2:BN7"/>
    <mergeCell ref="BO2:BO7"/>
    <mergeCell ref="BP2:BP7"/>
    <mergeCell ref="BQ2:BQ7"/>
    <mergeCell ref="BR2:BR7"/>
    <mergeCell ref="BS2:BS7"/>
    <mergeCell ref="BT2:BT7"/>
    <mergeCell ref="BU2:BU7"/>
    <mergeCell ref="BV2:BV7"/>
    <mergeCell ref="BW2:BW7"/>
    <mergeCell ref="BX2:BX7"/>
    <mergeCell ref="BY2:BY7"/>
    <mergeCell ref="BZ2:BZ7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A9:A10"/>
    <mergeCell ref="B9:B10"/>
    <mergeCell ref="C9:D9"/>
    <mergeCell ref="Q17:BZ17"/>
    <mergeCell ref="AF21:BZ21"/>
    <mergeCell ref="AF23:BZ23"/>
    <mergeCell ref="E28:BZ2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123</cp:revision>
  <dcterms:created xsi:type="dcterms:W3CDTF">2015-06-05T18:17:20Z</dcterms:created>
  <dcterms:modified xsi:type="dcterms:W3CDTF">2026-10-16T09:28:33Z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2b3a5-926f-4111-8eea-9c5318b8762f_Enabled">
    <vt:lpwstr>true</vt:lpwstr>
  </property>
  <property fmtid="{D5CDD505-2E9C-101B-9397-08002B2CF9AE}" pid="3" name="MSIP_Label_cdd2b3a5-926f-4111-8eea-9c5318b8762f_SetDate">
    <vt:lpwstr>2026-06-08T11:10:06Z</vt:lpwstr>
  </property>
  <property fmtid="{D5CDD505-2E9C-101B-9397-08002B2CF9AE}" pid="4" name="MSIP_Label_cdd2b3a5-926f-4111-8eea-9c5318b8762f_Method">
    <vt:lpwstr>Standard</vt:lpwstr>
  </property>
  <property fmtid="{D5CDD505-2E9C-101B-9397-08002B2CF9AE}" pid="5" name="MSIP_Label_cdd2b3a5-926f-4111-8eea-9c5318b8762f_Name">
    <vt:lpwstr>defa4170-0d19-0005-0004-bc88714345d2</vt:lpwstr>
  </property>
  <property fmtid="{D5CDD505-2E9C-101B-9397-08002B2CF9AE}" pid="6" name="MSIP_Label_cdd2b3a5-926f-4111-8eea-9c5318b8762f_SiteId">
    <vt:lpwstr>61d2e93c-423d-43b4-8f23-1580c2341952</vt:lpwstr>
  </property>
  <property fmtid="{D5CDD505-2E9C-101B-9397-08002B2CF9AE}" pid="7" name="MSIP_Label_cdd2b3a5-926f-4111-8eea-9c5318b8762f_ActionId">
    <vt:lpwstr>491a7fa2-3b01-4209-ac7d-4f5789beb535</vt:lpwstr>
  </property>
  <property fmtid="{D5CDD505-2E9C-101B-9397-08002B2CF9AE}" pid="8" name="MSIP_Label_cdd2b3a5-926f-4111-8eea-9c5318b8762f_ContentBits">
    <vt:lpwstr>0</vt:lpwstr>
  </property>
  <property fmtid="{D5CDD505-2E9C-101B-9397-08002B2CF9AE}" pid="9" name="MSIP_Label_cdd2b3a5-926f-4111-8eea-9c5318b8762f_Tag">
    <vt:lpwstr>10, 3, 0, 1</vt:lpwstr>
  </property>
</Properties>
</file>