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signer\Desktop\Front\01. - Front-end-docs\ჟურნალი\"/>
    </mc:Choice>
  </mc:AlternateContent>
  <xr:revisionPtr revIDLastSave="0" documentId="13_ncr:1_{4B876E7E-4178-4456-9066-E035F6671C5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301 ინტეგრირებული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<sst xmlns="http://schemas.openxmlformats.org/spreadsheetml/2006/main" count="56" uniqueCount="52">
  <si>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</si>
  <si>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</si>
  <si>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</si>
  <si>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</si>
  <si>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</si>
  <si>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</si>
  <si>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</si>
  <si>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</si>
  <si>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</si>
  <si>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</si>
  <si>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</si>
  <si>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</si>
  <si>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</si>
  <si>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</si>
  <si>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</si>
  <si>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</si>
  <si>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</si>
  <si>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</si>
  <si>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</si>
  <si>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</si>
  <si>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</si>
  <si>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</si>
  <si>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</si>
  <si>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</si>
  <si>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</si>
  <si>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</si>
  <si>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</si>
  <si>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</si>
  <si>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</si>
  <si>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</si>
  <si>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</si>
  <si>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</si>
  <si>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</si>
  <si>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</si>
  <si>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</si>
  <si>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</si>
  <si>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</si>
  <si>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</si>
  <si>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</si>
  <si>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</si>
  <si>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</si>
  <si>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</si>
  <si>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</si>
  <si>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</si>
  <si>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</si>
  <si>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</si>
  <si>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</si>
  <si>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</si>
  <si>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</si>
  <si>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 ვერსიების კონტროლი git ტექნოლოგიის გამოყენებით; N 06.1.1.7</t>
  </si>
  <si>
    <t>სტატუსი შეუწყდა 09.07.2026-დან</t>
  </si>
  <si>
    <t>სტატუსი შეუწყდა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</si>
</sst>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textRotation="90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9" xfId="1" applyFont="1" applyFill="1" applyBorder="1"/>
    <xf numFmtId="0" fontId="1" fillId="0" borderId="13" xfId="0" applyFont="1" applyBorder="1" applyAlignment="1">
      <alignment horizontal="center" vertical="top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5" borderId="1" xfId="0" applyFill="1" applyBorder="1"/>
    <xf numFmtId="0" fontId="0" fillId="3" borderId="1" xfId="0" applyFill="1" applyBorder="1"/>
    <xf numFmtId="0" fontId="0" fillId="2" borderId="13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6" fillId="2" borderId="13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14" fontId="3" fillId="2" borderId="10" xfId="0" applyNumberFormat="1" applyFont="1" applyFill="1" applyBorder="1" applyAlignment="1">
      <alignment horizontal="center" vertical="center" textRotation="90"/>
    </xf>
    <xf numFmtId="14" fontId="3" fillId="2" borderId="14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 textRotation="90"/>
    </xf>
    <xf numFmtId="0" fontId="1" fillId="2" borderId="14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14" fontId="3" fillId="6" borderId="10" xfId="0" applyNumberFormat="1" applyFont="1" applyFill="1" applyBorder="1" applyAlignment="1">
      <alignment horizontal="center" vertical="center" textRotation="90"/>
    </xf>
    <xf numFmtId="14" fontId="3" fillId="6" borderId="14" xfId="0" applyNumberFormat="1" applyFont="1" applyFill="1" applyBorder="1" applyAlignment="1">
      <alignment horizontal="center" vertical="center" textRotation="9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28"/>
  <sheetViews>
    <sheetView tabSelected="1" topLeftCell="E1" workbookViewId="0">
      <selection activeCell="AQ11" sqref="AQ11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5.5703125" style="1" customWidth="1"/>
    <col min="6" max="16384" width="3.5703125" style="1"/>
  </cols>
  <sheetData>
    <row r="1" spans="1:85" ht="16.5" customHeight="1" x14ac:dyDescent="0.25">
      <c r="A1" s="29" t="s">
        <v>0</v>
      </c>
      <c r="B1" s="30" t="s">
        <v>1</v>
      </c>
      <c r="C1" s="30"/>
      <c r="D1" s="31"/>
      <c r="F1" s="52">
        <v>4</v>
      </c>
      <c r="G1" s="53"/>
      <c r="H1" s="53"/>
      <c r="I1" s="53"/>
      <c r="J1" s="21">
        <v>2</v>
      </c>
      <c r="K1" s="22"/>
      <c r="L1" s="21">
        <v>5</v>
      </c>
      <c r="M1" s="23"/>
      <c r="N1" s="23"/>
      <c r="O1" s="23"/>
      <c r="P1" s="22"/>
      <c r="Q1" s="21">
        <v>5</v>
      </c>
      <c r="R1" s="23"/>
      <c r="S1" s="23"/>
      <c r="T1" s="23"/>
      <c r="U1" s="22"/>
      <c r="V1" s="21">
        <v>5</v>
      </c>
      <c r="W1" s="23"/>
      <c r="X1" s="23"/>
      <c r="Y1" s="23"/>
      <c r="Z1" s="22"/>
      <c r="AA1" s="21">
        <v>5</v>
      </c>
      <c r="AB1" s="23"/>
      <c r="AC1" s="23"/>
      <c r="AD1" s="23"/>
      <c r="AE1" s="22"/>
      <c r="AF1" s="21">
        <v>5</v>
      </c>
      <c r="AG1" s="23"/>
      <c r="AH1" s="23"/>
      <c r="AI1" s="23"/>
      <c r="AJ1" s="22"/>
      <c r="AK1" s="21">
        <v>6</v>
      </c>
      <c r="AL1" s="23"/>
      <c r="AM1" s="23"/>
      <c r="AN1" s="23"/>
      <c r="AO1" s="23"/>
      <c r="AP1" s="22"/>
      <c r="AQ1" s="21">
        <v>2</v>
      </c>
      <c r="AR1" s="22"/>
      <c r="AS1" s="18"/>
      <c r="AT1" s="19"/>
      <c r="AU1" s="19"/>
      <c r="AV1" s="19"/>
      <c r="AW1" s="19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20"/>
      <c r="BQ1" s="20"/>
      <c r="BR1" s="20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">
        <f>SUM(E1:CB1)</f>
        <v>39</v>
      </c>
    </row>
    <row r="2" spans="1:85" ht="11.25" customHeight="1" x14ac:dyDescent="0.25">
      <c r="A2" s="29"/>
      <c r="B2" s="32"/>
      <c r="C2" s="32"/>
      <c r="D2" s="33"/>
      <c r="E2" s="34" t="s">
        <v>2</v>
      </c>
      <c r="F2" s="27">
        <v>46202</v>
      </c>
      <c r="G2" s="27">
        <v>46202</v>
      </c>
      <c r="H2" s="27">
        <v>46202</v>
      </c>
      <c r="I2" s="27">
        <v>46202</v>
      </c>
      <c r="J2" s="27">
        <v>46206</v>
      </c>
      <c r="K2" s="27">
        <v>46206</v>
      </c>
      <c r="L2" s="27">
        <v>46209</v>
      </c>
      <c r="M2" s="27">
        <v>46209</v>
      </c>
      <c r="N2" s="27">
        <v>46209</v>
      </c>
      <c r="O2" s="27">
        <v>46209</v>
      </c>
      <c r="P2" s="27">
        <v>46209</v>
      </c>
      <c r="Q2" s="27">
        <v>46216</v>
      </c>
      <c r="R2" s="27">
        <v>46216</v>
      </c>
      <c r="S2" s="27">
        <v>46216</v>
      </c>
      <c r="T2" s="27">
        <v>46216</v>
      </c>
      <c r="U2" s="27">
        <v>46216</v>
      </c>
      <c r="V2" s="27">
        <v>46223</v>
      </c>
      <c r="W2" s="27">
        <v>46223</v>
      </c>
      <c r="X2" s="27">
        <v>46223</v>
      </c>
      <c r="Y2" s="27">
        <v>46223</v>
      </c>
      <c r="Z2" s="27">
        <v>46223</v>
      </c>
      <c r="AA2" s="27">
        <v>46230</v>
      </c>
      <c r="AB2" s="27">
        <v>46230</v>
      </c>
      <c r="AC2" s="27">
        <v>46230</v>
      </c>
      <c r="AD2" s="54">
        <v>46230</v>
      </c>
      <c r="AE2" s="54">
        <v>46230</v>
      </c>
      <c r="AF2" s="27">
        <v>46279</v>
      </c>
      <c r="AG2" s="27">
        <v>46279</v>
      </c>
      <c r="AH2" s="27">
        <v>46279</v>
      </c>
      <c r="AI2" s="27">
        <v>46279</v>
      </c>
      <c r="AJ2" s="27">
        <v>46279</v>
      </c>
      <c r="AK2" s="27">
        <v>46286</v>
      </c>
      <c r="AL2" s="27">
        <v>46286</v>
      </c>
      <c r="AM2" s="27">
        <v>46286</v>
      </c>
      <c r="AN2" s="27">
        <v>46286</v>
      </c>
      <c r="AO2" s="27">
        <v>46286</v>
      </c>
      <c r="AP2" s="27">
        <v>46286</v>
      </c>
      <c r="AQ2" s="27">
        <v>46290</v>
      </c>
      <c r="AR2" s="27">
        <v>46290</v>
      </c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</row>
    <row r="3" spans="1:85" ht="24" customHeight="1" x14ac:dyDescent="0.25">
      <c r="A3" s="37" t="s">
        <v>49</v>
      </c>
      <c r="B3" s="37"/>
      <c r="C3" s="37"/>
      <c r="D3" s="37"/>
      <c r="E3" s="35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54"/>
      <c r="AE3" s="54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</row>
    <row r="4" spans="1:85" ht="24.75" customHeight="1" x14ac:dyDescent="0.25">
      <c r="A4" s="37" t="s">
        <v>3</v>
      </c>
      <c r="B4" s="37"/>
      <c r="C4" s="38" t="s">
        <v>4</v>
      </c>
      <c r="D4" s="39"/>
      <c r="E4" s="35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54"/>
      <c r="AE4" s="54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</row>
    <row r="5" spans="1:85" ht="16.5" customHeight="1" x14ac:dyDescent="0.25">
      <c r="A5" s="40" t="s">
        <v>5</v>
      </c>
      <c r="B5" s="40"/>
      <c r="C5" s="41">
        <v>60</v>
      </c>
      <c r="D5" s="42"/>
      <c r="E5" s="35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54"/>
      <c r="AE5" s="54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</row>
    <row r="6" spans="1:85" ht="16.5" customHeight="1" x14ac:dyDescent="0.25">
      <c r="A6" s="40" t="s">
        <v>6</v>
      </c>
      <c r="B6" s="40"/>
      <c r="C6" s="41">
        <v>6</v>
      </c>
      <c r="D6" s="42"/>
      <c r="E6" s="35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54"/>
      <c r="AE6" s="54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</row>
    <row r="7" spans="1:85" ht="16.5" customHeight="1" x14ac:dyDescent="0.25">
      <c r="A7" s="43" t="s">
        <v>7</v>
      </c>
      <c r="B7" s="43"/>
      <c r="C7" s="41">
        <v>9</v>
      </c>
      <c r="D7" s="42"/>
      <c r="E7" s="36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55"/>
      <c r="AE7" s="55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  <c r="BV7" s="28"/>
      <c r="BW7" s="28"/>
      <c r="BX7" s="28"/>
      <c r="BY7" s="28"/>
      <c r="BZ7" s="28"/>
      <c r="CA7" s="28"/>
      <c r="CB7" s="28"/>
    </row>
    <row r="8" spans="1:85" ht="24" customHeight="1" x14ac:dyDescent="0.25">
      <c r="A8" s="44" t="s">
        <v>8</v>
      </c>
      <c r="B8" s="44"/>
      <c r="C8" s="45">
        <f>SUM(C5:D7)</f>
        <v>75</v>
      </c>
      <c r="D8" s="39"/>
      <c r="E8" s="3"/>
      <c r="F8" s="46">
        <v>1</v>
      </c>
      <c r="G8" s="46">
        <v>2</v>
      </c>
      <c r="H8" s="46">
        <v>3</v>
      </c>
      <c r="I8" s="46">
        <v>4</v>
      </c>
      <c r="J8" s="46">
        <v>5</v>
      </c>
      <c r="K8" s="46">
        <v>6</v>
      </c>
      <c r="L8" s="46">
        <v>7</v>
      </c>
      <c r="M8" s="46">
        <v>8</v>
      </c>
      <c r="N8" s="46">
        <v>9</v>
      </c>
      <c r="O8" s="46">
        <v>10</v>
      </c>
      <c r="P8" s="46">
        <v>11</v>
      </c>
      <c r="Q8" s="46">
        <v>12</v>
      </c>
      <c r="R8" s="46">
        <v>13</v>
      </c>
      <c r="S8" s="46">
        <v>14</v>
      </c>
      <c r="T8" s="46">
        <v>15</v>
      </c>
      <c r="U8" s="46">
        <v>16</v>
      </c>
      <c r="V8" s="46">
        <v>17</v>
      </c>
      <c r="W8" s="46">
        <v>18</v>
      </c>
      <c r="X8" s="46">
        <v>19</v>
      </c>
      <c r="Y8" s="46">
        <v>20</v>
      </c>
      <c r="Z8" s="46">
        <v>21</v>
      </c>
      <c r="AA8" s="46">
        <v>22</v>
      </c>
      <c r="AB8" s="46">
        <v>23</v>
      </c>
      <c r="AC8" s="46">
        <v>24</v>
      </c>
      <c r="AD8" s="46">
        <v>25</v>
      </c>
      <c r="AE8" s="46">
        <v>26</v>
      </c>
      <c r="AF8" s="46">
        <v>27</v>
      </c>
      <c r="AG8" s="46">
        <v>28</v>
      </c>
      <c r="AH8" s="46">
        <v>29</v>
      </c>
      <c r="AI8" s="46">
        <v>30</v>
      </c>
      <c r="AJ8" s="46">
        <v>31</v>
      </c>
      <c r="AK8" s="46">
        <v>32</v>
      </c>
      <c r="AL8" s="46">
        <v>33</v>
      </c>
      <c r="AM8" s="46">
        <v>34</v>
      </c>
      <c r="AN8" s="46">
        <v>35</v>
      </c>
      <c r="AO8" s="46">
        <v>36</v>
      </c>
      <c r="AP8" s="46">
        <v>37</v>
      </c>
      <c r="AQ8" s="46">
        <v>38</v>
      </c>
      <c r="AR8" s="46">
        <v>39</v>
      </c>
      <c r="AS8" s="46">
        <v>40</v>
      </c>
      <c r="AT8" s="46">
        <v>41</v>
      </c>
      <c r="AU8" s="46">
        <v>42</v>
      </c>
      <c r="AV8" s="46">
        <v>43</v>
      </c>
      <c r="AW8" s="46">
        <v>44</v>
      </c>
      <c r="AX8" s="46">
        <v>45</v>
      </c>
      <c r="AY8" s="46">
        <v>46</v>
      </c>
      <c r="AZ8" s="46">
        <v>47</v>
      </c>
      <c r="BA8" s="46">
        <v>48</v>
      </c>
      <c r="BB8" s="46">
        <v>49</v>
      </c>
      <c r="BC8" s="46">
        <v>50</v>
      </c>
      <c r="BD8" s="46">
        <v>51</v>
      </c>
      <c r="BE8" s="46">
        <v>52</v>
      </c>
      <c r="BF8" s="46">
        <v>53</v>
      </c>
      <c r="BG8" s="46">
        <v>54</v>
      </c>
      <c r="BH8" s="46">
        <v>55</v>
      </c>
      <c r="BI8" s="46">
        <v>56</v>
      </c>
      <c r="BJ8" s="46">
        <v>57</v>
      </c>
      <c r="BK8" s="46">
        <v>58</v>
      </c>
      <c r="BL8" s="46">
        <v>59</v>
      </c>
      <c r="BM8" s="46">
        <v>60</v>
      </c>
      <c r="BN8" s="46">
        <v>61</v>
      </c>
      <c r="BO8" s="46">
        <v>62</v>
      </c>
      <c r="BP8" s="46">
        <v>63</v>
      </c>
      <c r="BQ8" s="46">
        <v>64</v>
      </c>
      <c r="BR8" s="46">
        <v>65</v>
      </c>
      <c r="BS8" s="46">
        <v>66</v>
      </c>
      <c r="BT8" s="46">
        <v>67</v>
      </c>
      <c r="BU8" s="46">
        <v>68</v>
      </c>
      <c r="BV8" s="46">
        <v>69</v>
      </c>
      <c r="BW8" s="46">
        <v>70</v>
      </c>
      <c r="BX8" s="46">
        <v>71</v>
      </c>
      <c r="BY8" s="46">
        <v>72</v>
      </c>
      <c r="BZ8" s="46">
        <v>73</v>
      </c>
      <c r="CA8" s="46">
        <v>74</v>
      </c>
      <c r="CB8" s="46">
        <v>75</v>
      </c>
    </row>
    <row r="9" spans="1:85" ht="16.5" customHeight="1" x14ac:dyDescent="0.25">
      <c r="A9" s="48" t="s">
        <v>9</v>
      </c>
      <c r="B9" s="49" t="s">
        <v>10</v>
      </c>
      <c r="C9" s="50" t="s">
        <v>11</v>
      </c>
      <c r="D9" s="49"/>
      <c r="E9" s="5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</row>
    <row r="10" spans="1:85" ht="16.5" customHeight="1" x14ac:dyDescent="0.25">
      <c r="A10" s="48"/>
      <c r="B10" s="49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</row>
    <row r="11" spans="1:85" ht="16.5" customHeight="1" x14ac:dyDescent="0.25">
      <c r="A11" s="9">
        <v>1</v>
      </c>
      <c r="B11" s="10" t="s">
        <v>14</v>
      </c>
      <c r="C11" s="10" t="s">
        <v>15</v>
      </c>
      <c r="D11" s="11">
        <f t="shared" ref="D11:D28" si="0">COUNT(F11:CB11)</f>
        <v>2</v>
      </c>
      <c r="E11" s="12"/>
      <c r="F11" s="8"/>
      <c r="G11" s="8"/>
      <c r="H11" s="8"/>
      <c r="I11" s="8"/>
      <c r="J11" s="8">
        <v>0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>
        <v>0</v>
      </c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</row>
    <row r="12" spans="1:85" ht="16.5" customHeight="1" x14ac:dyDescent="0.2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</row>
    <row r="13" spans="1:85" ht="16.5" customHeight="1" x14ac:dyDescent="0.25">
      <c r="A13" s="9">
        <v>3</v>
      </c>
      <c r="B13" s="10" t="s">
        <v>18</v>
      </c>
      <c r="C13" s="10" t="s">
        <v>19</v>
      </c>
      <c r="D13" s="11">
        <f t="shared" si="0"/>
        <v>13</v>
      </c>
      <c r="E13" s="12"/>
      <c r="F13" s="8"/>
      <c r="G13" s="8"/>
      <c r="H13" s="8"/>
      <c r="I13" s="8"/>
      <c r="J13" s="8">
        <v>0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/>
      <c r="AH13" s="8"/>
      <c r="AI13" s="8"/>
      <c r="AJ13" s="8"/>
      <c r="AK13" s="8"/>
      <c r="AL13" s="8"/>
      <c r="AM13" s="8"/>
      <c r="AN13" s="8"/>
      <c r="AO13" s="8"/>
      <c r="AP13" s="8">
        <v>0</v>
      </c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F13" s="13"/>
      <c r="CG13" s="1" t="s">
        <v>20</v>
      </c>
    </row>
    <row r="14" spans="1:85" ht="16.5" customHeight="1" x14ac:dyDescent="0.25">
      <c r="A14" s="9">
        <v>4</v>
      </c>
      <c r="B14" s="10" t="s">
        <v>21</v>
      </c>
      <c r="C14" s="14" t="s">
        <v>22</v>
      </c>
      <c r="D14" s="11">
        <f t="shared" si="0"/>
        <v>22</v>
      </c>
      <c r="E14" s="12"/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/>
      <c r="Q14" s="8"/>
      <c r="R14" s="8"/>
      <c r="S14" s="8"/>
      <c r="T14" s="8"/>
      <c r="U14" s="8"/>
      <c r="V14" s="8">
        <v>0</v>
      </c>
      <c r="W14" s="8">
        <v>0</v>
      </c>
      <c r="X14" s="8"/>
      <c r="Y14" s="8"/>
      <c r="Z14" s="8"/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</row>
    <row r="15" spans="1:85" ht="16.5" customHeight="1" x14ac:dyDescent="0.25">
      <c r="A15" s="9">
        <v>5</v>
      </c>
      <c r="B15" s="10" t="s">
        <v>23</v>
      </c>
      <c r="C15" s="10" t="s">
        <v>24</v>
      </c>
      <c r="D15" s="11">
        <f t="shared" si="0"/>
        <v>21</v>
      </c>
      <c r="E15" s="12"/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/>
      <c r="R15" s="8"/>
      <c r="S15" s="8"/>
      <c r="T15" s="8"/>
      <c r="U15" s="8"/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</row>
    <row r="16" spans="1:85" ht="16.5" customHeight="1" x14ac:dyDescent="0.25">
      <c r="A16" s="9">
        <v>6</v>
      </c>
      <c r="B16" s="10" t="s">
        <v>25</v>
      </c>
      <c r="C16" s="10" t="s">
        <v>26</v>
      </c>
      <c r="D16" s="11">
        <f t="shared" si="0"/>
        <v>6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>
        <v>0</v>
      </c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</row>
    <row r="17" spans="1:80" ht="16.5" customHeight="1" x14ac:dyDescent="0.25">
      <c r="A17" s="9">
        <v>7</v>
      </c>
      <c r="B17" s="10" t="s">
        <v>27</v>
      </c>
      <c r="C17" s="10" t="s">
        <v>28</v>
      </c>
      <c r="D17" s="11">
        <f t="shared" si="0"/>
        <v>11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24" t="s">
        <v>50</v>
      </c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6"/>
    </row>
    <row r="18" spans="1:80" ht="16.5" customHeight="1" x14ac:dyDescent="0.25">
      <c r="A18" s="9">
        <v>8</v>
      </c>
      <c r="B18" s="10" t="s">
        <v>21</v>
      </c>
      <c r="C18" s="10" t="s">
        <v>29</v>
      </c>
      <c r="D18" s="11">
        <f t="shared" si="0"/>
        <v>8</v>
      </c>
      <c r="E18" s="12"/>
      <c r="F18" s="8"/>
      <c r="G18" s="8"/>
      <c r="H18" s="8">
        <v>0</v>
      </c>
      <c r="I18" s="8">
        <v>0</v>
      </c>
      <c r="J18" s="8">
        <v>0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</row>
    <row r="19" spans="1:80" ht="16.5" customHeight="1" x14ac:dyDescent="0.25">
      <c r="A19" s="9">
        <v>9</v>
      </c>
      <c r="B19" s="10" t="s">
        <v>21</v>
      </c>
      <c r="C19" s="10" t="s">
        <v>30</v>
      </c>
      <c r="D19" s="11">
        <f t="shared" si="0"/>
        <v>13</v>
      </c>
      <c r="E19" s="12"/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>
        <v>0</v>
      </c>
      <c r="W19" s="8">
        <v>0</v>
      </c>
      <c r="X19" s="8"/>
      <c r="Y19" s="8"/>
      <c r="Z19" s="8"/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</row>
    <row r="20" spans="1:80" ht="16.5" customHeight="1" x14ac:dyDescent="0.25">
      <c r="A20" s="9">
        <v>10</v>
      </c>
      <c r="B20" s="10" t="s">
        <v>21</v>
      </c>
      <c r="C20" s="10" t="s">
        <v>31</v>
      </c>
      <c r="D20" s="11">
        <f t="shared" si="0"/>
        <v>11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</row>
    <row r="21" spans="1:80" ht="16.5" customHeight="1" x14ac:dyDescent="0.25">
      <c r="A21" s="9">
        <v>11</v>
      </c>
      <c r="B21" s="10" t="s">
        <v>32</v>
      </c>
      <c r="C21" s="10" t="s">
        <v>33</v>
      </c>
      <c r="D21" s="11">
        <f t="shared" si="0"/>
        <v>26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24" t="s">
        <v>51</v>
      </c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6"/>
    </row>
    <row r="22" spans="1:80" ht="16.5" customHeight="1" x14ac:dyDescent="0.25">
      <c r="A22" s="9">
        <v>12</v>
      </c>
      <c r="B22" s="14" t="s">
        <v>34</v>
      </c>
      <c r="C22" s="10" t="s">
        <v>35</v>
      </c>
      <c r="D22" s="11">
        <f t="shared" si="0"/>
        <v>6</v>
      </c>
      <c r="E22" s="12"/>
      <c r="F22" s="8"/>
      <c r="G22" s="8"/>
      <c r="H22" s="8"/>
      <c r="I22" s="8"/>
      <c r="J22" s="8">
        <v>0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</row>
    <row r="23" spans="1:80" ht="16.5" customHeight="1" x14ac:dyDescent="0.25">
      <c r="A23" s="9">
        <v>13</v>
      </c>
      <c r="B23" s="10" t="s">
        <v>36</v>
      </c>
      <c r="C23" s="10" t="s">
        <v>37</v>
      </c>
      <c r="D23" s="11">
        <f t="shared" si="0"/>
        <v>26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24" t="s">
        <v>51</v>
      </c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6"/>
    </row>
    <row r="24" spans="1:80" ht="16.5" customHeight="1" x14ac:dyDescent="0.25">
      <c r="A24" s="9">
        <v>14</v>
      </c>
      <c r="B24" s="10" t="s">
        <v>38</v>
      </c>
      <c r="C24" s="10" t="s">
        <v>39</v>
      </c>
      <c r="D24" s="11">
        <f t="shared" si="0"/>
        <v>14</v>
      </c>
      <c r="E24" s="12"/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</row>
    <row r="25" spans="1:80" ht="16.5" customHeight="1" x14ac:dyDescent="0.25">
      <c r="A25" s="9">
        <v>15</v>
      </c>
      <c r="B25" s="10" t="s">
        <v>40</v>
      </c>
      <c r="C25" s="10" t="s">
        <v>41</v>
      </c>
      <c r="D25" s="11">
        <f t="shared" si="0"/>
        <v>22</v>
      </c>
      <c r="E25" s="12"/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/>
      <c r="AL25" s="8"/>
      <c r="AM25" s="8"/>
      <c r="AN25" s="8"/>
      <c r="AO25" s="8">
        <v>0</v>
      </c>
      <c r="AP25" s="8">
        <v>0</v>
      </c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</row>
    <row r="26" spans="1:80" ht="16.5" customHeight="1" x14ac:dyDescent="0.25">
      <c r="A26" s="9">
        <v>16</v>
      </c>
      <c r="B26" s="10" t="s">
        <v>42</v>
      </c>
      <c r="C26" s="10" t="s">
        <v>43</v>
      </c>
      <c r="D26" s="11">
        <f t="shared" si="0"/>
        <v>24</v>
      </c>
      <c r="E26" s="12"/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/>
      <c r="R26" s="8"/>
      <c r="S26" s="8"/>
      <c r="T26" s="8"/>
      <c r="U26" s="8"/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/>
      <c r="AH26" s="8"/>
      <c r="AI26" s="8"/>
      <c r="AJ26" s="8"/>
      <c r="AK26" s="8"/>
      <c r="AL26" s="8"/>
      <c r="AM26" s="8"/>
      <c r="AN26" s="8"/>
      <c r="AO26" s="8">
        <v>0</v>
      </c>
      <c r="AP26" s="8">
        <v>0</v>
      </c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</row>
    <row r="27" spans="1:80" ht="16.5" customHeight="1" x14ac:dyDescent="0.25">
      <c r="A27" s="9">
        <v>17</v>
      </c>
      <c r="B27" s="10" t="s">
        <v>44</v>
      </c>
      <c r="C27" s="10" t="s">
        <v>45</v>
      </c>
      <c r="D27" s="11">
        <f t="shared" si="0"/>
        <v>33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/>
      <c r="AL27" s="8"/>
      <c r="AM27" s="8"/>
      <c r="AN27" s="8"/>
      <c r="AO27" s="8">
        <v>0</v>
      </c>
      <c r="AP27" s="8">
        <v>0</v>
      </c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</row>
    <row r="28" spans="1:80" ht="16.5" customHeight="1" x14ac:dyDescent="0.25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51" t="s">
        <v>48</v>
      </c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  <c r="BQ28" s="51"/>
      <c r="BR28" s="51"/>
      <c r="BS28" s="51"/>
      <c r="BT28" s="51"/>
      <c r="BU28" s="51"/>
      <c r="BV28" s="51"/>
      <c r="BW28" s="51"/>
      <c r="BX28" s="51"/>
      <c r="BY28" s="51"/>
      <c r="BZ28" s="51"/>
      <c r="CA28" s="51"/>
      <c r="CB28" s="51"/>
    </row>
  </sheetData>
  <mergeCells count="180">
    <mergeCell ref="E28:CB28"/>
    <mergeCell ref="F1:I1"/>
    <mergeCell ref="BU8:BU9"/>
    <mergeCell ref="BV8:BV9"/>
    <mergeCell ref="BW8:BW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K1:AP1"/>
    <mergeCell ref="AW8:AW9"/>
    <mergeCell ref="AX8:AX9"/>
    <mergeCell ref="AY8:AY9"/>
    <mergeCell ref="AZ8:AZ9"/>
    <mergeCell ref="BA8:BA9"/>
    <mergeCell ref="BB8:BB9"/>
    <mergeCell ref="AF23:CB23"/>
    <mergeCell ref="Q17:CB17"/>
    <mergeCell ref="BX8:BX9"/>
    <mergeCell ref="BY8:BY9"/>
    <mergeCell ref="BZ8:BZ9"/>
    <mergeCell ref="CA8:CA9"/>
    <mergeCell ref="CB8:CB9"/>
    <mergeCell ref="BO8:BO9"/>
    <mergeCell ref="BP8:BP9"/>
    <mergeCell ref="BQ8:BQ9"/>
    <mergeCell ref="BR8:BR9"/>
    <mergeCell ref="BS8:BS9"/>
    <mergeCell ref="BT8:BT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BU2:BU7"/>
    <mergeCell ref="BV2:BV7"/>
    <mergeCell ref="BW2:BW7"/>
    <mergeCell ref="BX2:BX7"/>
    <mergeCell ref="BY2:BY7"/>
    <mergeCell ref="BZ2:BZ7"/>
    <mergeCell ref="CA2:CA7"/>
    <mergeCell ref="CB2:CB7"/>
    <mergeCell ref="C6:D6"/>
    <mergeCell ref="C7:D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G2:AG7"/>
    <mergeCell ref="AD2:AD7"/>
    <mergeCell ref="AE2:AE7"/>
    <mergeCell ref="AF2:AF7"/>
    <mergeCell ref="AB2:AB7"/>
    <mergeCell ref="AC2:AC7"/>
    <mergeCell ref="AH2:AH7"/>
    <mergeCell ref="AI2:AI7"/>
    <mergeCell ref="AJ2:AJ7"/>
    <mergeCell ref="A6:B6"/>
    <mergeCell ref="A7:B7"/>
    <mergeCell ref="V1:Z1"/>
    <mergeCell ref="L1:P1"/>
    <mergeCell ref="AA2:AA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Q1:U1"/>
    <mergeCell ref="AA1:AE1"/>
    <mergeCell ref="AQ1:AR1"/>
    <mergeCell ref="AF1:AJ1"/>
    <mergeCell ref="AF21:CB21"/>
    <mergeCell ref="J1:K1"/>
    <mergeCell ref="W2:W7"/>
    <mergeCell ref="X2:X7"/>
    <mergeCell ref="A1:A2"/>
    <mergeCell ref="B1:D2"/>
    <mergeCell ref="Y2:Y7"/>
    <mergeCell ref="Z2:Z7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A3:D3"/>
    <mergeCell ref="A4:B4"/>
    <mergeCell ref="C4:D4"/>
    <mergeCell ref="A5:B5"/>
    <mergeCell ref="C5:D5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ლილი კაცაძე</cp:lastModifiedBy>
  <cp:revision>114</cp:revision>
  <dcterms:created xsi:type="dcterms:W3CDTF">2015-06-05T18:17:20Z</dcterms:created>
  <dcterms:modified xsi:type="dcterms:W3CDTF">2026-09-25T13:45:24Z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