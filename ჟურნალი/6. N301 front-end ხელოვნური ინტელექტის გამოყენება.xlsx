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301 ინტეგრირებული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<sst xmlns="http://schemas.openxmlformats.org/spreadsheetml/2006/main" count="52" uniqueCount="52">
  <si>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 xml:space="preserve">პროგრამა                     </t>
  </si>
  <si>
    <t xml:space="preserve">front-end დეველოპმენტი (ინტეგრირებული მიდგომით) N301</t>
  </si>
  <si>
    <t>რიცხვი</t>
  </si>
  <si>
    <t xml:space="preserve">მოდული: ხელოვნური ინტელექტის გამოყენება; N 06.1.1.10</t>
  </si>
  <si>
    <t xml:space="preserve">პროფესიული განათლების მასწავლებელი</t>
  </si>
  <si>
    <t xml:space="preserve">ლევან ჭუმბურიძე</t>
  </si>
  <si>
    <t xml:space="preserve">საკონტაქტო საათები</t>
  </si>
  <si>
    <t>შეფასება</t>
  </si>
  <si>
    <t>დამოუკიდებელი</t>
  </si>
  <si>
    <t xml:space="preserve">სულ-საათების ჯამური რაოდენობა</t>
  </si>
  <si>
    <t>N</t>
  </si>
  <si>
    <t xml:space="preserve">სახელი გვარი</t>
  </si>
  <si>
    <t xml:space="preserve">გაცდენილი საათები</t>
  </si>
  <si>
    <t>სულ</t>
  </si>
  <si>
    <t>%</t>
  </si>
  <si>
    <r>
      <rPr>
        <sz val="11"/>
        <color indexed="63"/>
        <rFont val="Sylfaen"/>
      </rPr>
      <t>არმინე</t>
    </r>
  </si>
  <si>
    <r>
      <rPr>
        <sz val="11"/>
        <color indexed="63"/>
        <rFont val="Sylfaen"/>
      </rPr>
      <t>იორდანიან</t>
    </r>
  </si>
  <si>
    <r>
      <rPr>
        <sz val="11"/>
        <color indexed="63"/>
        <rFont val="Sylfaen"/>
      </rPr>
      <t>ალექსეი</t>
    </r>
  </si>
  <si>
    <r>
      <rPr>
        <sz val="11"/>
        <color indexed="63"/>
        <rFont val="Sylfaen"/>
      </rPr>
      <t>მოზაიძე</t>
    </r>
  </si>
  <si>
    <r>
      <rPr>
        <sz val="11"/>
        <color indexed="63"/>
        <rFont val="Sylfaen"/>
      </rPr>
      <t>ზურიკო</t>
    </r>
  </si>
  <si>
    <r>
      <rPr>
        <sz val="11"/>
        <color indexed="63"/>
        <rFont val="Sylfaen"/>
      </rPr>
      <t>კორსანტია</t>
    </r>
  </si>
  <si>
    <t>დადასტურება</t>
  </si>
  <si>
    <r>
      <rPr>
        <sz val="11"/>
        <color indexed="63"/>
        <rFont val="Sylfaen"/>
      </rPr>
      <t>ლუკა</t>
    </r>
  </si>
  <si>
    <t>მათითაიშვილი</t>
  </si>
  <si>
    <r>
      <rPr>
        <sz val="11"/>
        <color indexed="63"/>
        <rFont val="Sylfaen"/>
      </rPr>
      <t>საბა</t>
    </r>
  </si>
  <si>
    <r>
      <rPr>
        <sz val="11"/>
        <color indexed="63"/>
        <rFont val="Sylfaen"/>
      </rPr>
      <t>ლაჩაშვილი</t>
    </r>
  </si>
  <si>
    <r>
      <rPr>
        <sz val="11"/>
        <color indexed="63"/>
        <rFont val="Sylfaen"/>
      </rPr>
      <t>ალბინა</t>
    </r>
  </si>
  <si>
    <r>
      <rPr>
        <sz val="11"/>
        <color indexed="63"/>
        <rFont val="Sylfaen"/>
      </rPr>
      <t>ძახოევი</t>
    </r>
  </si>
  <si>
    <r>
      <rPr>
        <sz val="11"/>
        <color indexed="63"/>
        <rFont val="Sylfaen"/>
      </rPr>
      <t>მირიან</t>
    </r>
  </si>
  <si>
    <r>
      <rPr>
        <sz val="11"/>
        <color indexed="63"/>
        <rFont val="Sylfaen"/>
      </rPr>
      <t>ქათამაძე</t>
    </r>
  </si>
  <si>
    <t xml:space="preserve">სტატუსი შეუწყდა 09.07.2026-დან</t>
  </si>
  <si>
    <r>
      <rPr>
        <sz val="11"/>
        <color indexed="63"/>
        <rFont val="Sylfaen"/>
      </rPr>
      <t>ოდიშვილი</t>
    </r>
  </si>
  <si>
    <r>
      <rPr>
        <sz val="11"/>
        <color indexed="63"/>
        <rFont val="Sylfaen"/>
      </rPr>
      <t>ბანძელაძე</t>
    </r>
  </si>
  <si>
    <r>
      <rPr>
        <sz val="11"/>
        <color indexed="63"/>
        <rFont val="Sylfaen"/>
      </rPr>
      <t>მირცხულავა</t>
    </r>
  </si>
  <si>
    <r>
      <rPr>
        <sz val="11"/>
        <color indexed="63"/>
        <rFont val="Sylfaen"/>
      </rPr>
      <t>ლევან</t>
    </r>
  </si>
  <si>
    <r>
      <rPr>
        <sz val="11"/>
        <color indexed="63"/>
        <rFont val="Sylfaen"/>
      </rPr>
      <t>გობეჯიშვილი</t>
    </r>
  </si>
  <si>
    <t xml:space="preserve">სტატუსი შეუწყდა</t>
  </si>
  <si>
    <t>ალექსანდრე</t>
  </si>
  <si>
    <r>
      <rPr>
        <sz val="11"/>
        <color indexed="63"/>
        <rFont val="Sylfaen"/>
      </rPr>
      <t>ბერიაშვილი</t>
    </r>
  </si>
  <si>
    <r>
      <rPr>
        <sz val="11"/>
        <color indexed="63"/>
        <rFont val="Sylfaen"/>
      </rPr>
      <t>მარტიროს</t>
    </r>
  </si>
  <si>
    <r>
      <rPr>
        <sz val="11"/>
        <color indexed="63"/>
        <rFont val="Sylfaen"/>
      </rPr>
      <t>არუთუნიან</t>
    </r>
  </si>
  <si>
    <r>
      <rPr>
        <sz val="11"/>
        <color indexed="63"/>
        <rFont val="Sylfaen"/>
      </rPr>
      <t>ირინა</t>
    </r>
  </si>
  <si>
    <r>
      <rPr>
        <sz val="11"/>
        <color indexed="63"/>
        <rFont val="Sylfaen"/>
      </rPr>
      <t>მატაშოვა</t>
    </r>
  </si>
  <si>
    <r>
      <rPr>
        <sz val="11"/>
        <color indexed="63"/>
        <rFont val="Sylfaen"/>
      </rPr>
      <t>ნიკოლოზ</t>
    </r>
  </si>
  <si>
    <r>
      <rPr>
        <sz val="11"/>
        <color indexed="63"/>
        <rFont val="Sylfaen"/>
      </rPr>
      <t>ქისიშვილი</t>
    </r>
  </si>
  <si>
    <r>
      <rPr>
        <sz val="11"/>
        <color indexed="63"/>
        <rFont val="Sylfaen"/>
      </rPr>
      <t>დავითი</t>
    </r>
  </si>
  <si>
    <r>
      <rPr>
        <sz val="11"/>
        <color indexed="63"/>
        <rFont val="Sylfaen"/>
      </rPr>
      <t>ვეშაგური</t>
    </r>
  </si>
  <si>
    <r>
      <rPr>
        <sz val="11"/>
        <color indexed="63"/>
        <rFont val="Sylfaen"/>
      </rPr>
      <t>გიორგი</t>
    </r>
  </si>
  <si>
    <r>
      <rPr>
        <sz val="11"/>
        <color indexed="63"/>
        <rFont val="Sylfaen"/>
      </rPr>
      <t>ბენდიანიშვილი</t>
    </r>
  </si>
  <si>
    <r>
      <rPr>
        <sz val="11"/>
        <color indexed="63"/>
        <rFont val="Sylfaen"/>
      </rPr>
      <t>ვაჟა</t>
    </r>
  </si>
  <si>
    <r>
      <rPr>
        <sz val="11"/>
        <color indexed="63"/>
        <rFont val="Sylfaen"/>
      </rPr>
      <t>ხარაზიშვილი</t>
    </r>
  </si>
  <si>
    <t xml:space="preserve">სტატუსი შეუწყდა 2025 წლის 17 ოქტომბირდან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</si>
</sst>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0">
    <font>
      <sz val="11.000000"/>
      <color theme="1"/>
      <name val="Calibri"/>
      <scheme val="minor"/>
    </font>
    <font>
      <sz val="9.000000"/>
      <color theme="1"/>
      <name val="Sylfaen"/>
    </font>
    <font>
      <sz val="10.000000"/>
      <color theme="1"/>
      <name val="Calibri"/>
      <scheme val="minor"/>
    </font>
    <font>
      <sz val="10.000000"/>
      <color theme="1"/>
      <name val="Sylfaen"/>
    </font>
    <font>
      <b/>
      <sz val="9.000000"/>
      <color theme="1"/>
      <name val="Calibri"/>
      <scheme val="minor"/>
    </font>
    <font>
      <b/>
      <sz val="9.000000"/>
      <color indexed="2"/>
      <name val="Sylfaen"/>
    </font>
    <font>
      <b/>
      <sz val="9.000000"/>
      <color theme="1"/>
      <name val="Sylfaen"/>
    </font>
    <font>
      <sz val="11.000000"/>
      <name val="Sylfaen"/>
    </font>
    <font>
      <b/>
      <sz val="11.000000"/>
      <color indexed="2"/>
      <name val="Sylfaen"/>
    </font>
    <font>
      <sz val="11.000000"/>
      <color indexed="63"/>
      <name val="Sylfaen"/>
    </font>
  </fonts>
  <fills count="9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0"/>
      </patternFill>
    </fill>
    <fill>
      <patternFill patternType="solid">
        <fgColor rgb="FF92D05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2"/>
      </patternFill>
    </fill>
    <fill>
      <patternFill patternType="solid">
        <fgColor indexed="2"/>
        <bgColor indexed="2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63">
    <xf fontId="0" fillId="0" borderId="0" numFmtId="0" xfId="0"/>
    <xf fontId="0" fillId="2" borderId="0" numFmtId="0" xfId="0" applyFill="1"/>
    <xf fontId="0" fillId="2" borderId="0" numFmtId="0" xfId="0" applyFill="1" applyAlignment="1">
      <alignment horizontal="center"/>
    </xf>
    <xf fontId="1" fillId="2" borderId="1" numFmtId="0" xfId="0" applyFont="1" applyFill="1" applyBorder="1" applyAlignment="1">
      <alignment horizontal="center" textRotation="90" vertical="center"/>
    </xf>
    <xf fontId="2" fillId="2" borderId="2" numFmtId="0" xfId="0" applyFont="1" applyFill="1" applyBorder="1" applyAlignment="1">
      <alignment horizontal="left" vertical="center" wrapText="1"/>
    </xf>
    <xf fontId="2" fillId="2" borderId="3" numFmtId="0" xfId="0" applyFont="1" applyFill="1" applyBorder="1" applyAlignment="1">
      <alignment horizontal="left" vertical="center" wrapText="1"/>
    </xf>
    <xf fontId="0" fillId="2" borderId="4" numFmtId="0" xfId="0" applyFill="1" applyBorder="1" applyAlignment="1">
      <alignment horizontal="center"/>
    </xf>
    <xf fontId="0" fillId="2" borderId="5" numFmtId="0" xfId="0" applyFill="1" applyBorder="1" applyAlignment="1">
      <alignment horizontal="center"/>
    </xf>
    <xf fontId="0" fillId="2" borderId="6" numFmtId="0" xfId="0" applyFill="1" applyBorder="1" applyAlignment="1">
      <alignment horizontal="center"/>
    </xf>
    <xf fontId="0" fillId="2" borderId="1" numFmtId="0" xfId="0" applyFill="1" applyBorder="1" applyAlignment="1">
      <alignment horizontal="center"/>
    </xf>
    <xf fontId="0" fillId="3" borderId="4" numFmtId="0" xfId="0" applyFill="1" applyBorder="1" applyAlignment="1">
      <alignment horizontal="center"/>
    </xf>
    <xf fontId="0" fillId="3" borderId="5" numFmtId="0" xfId="0" applyFill="1" applyBorder="1" applyAlignment="1">
      <alignment horizontal="center"/>
    </xf>
    <xf fontId="0" fillId="3" borderId="6" numFmtId="0" xfId="0" applyFill="1" applyBorder="1" applyAlignment="1">
      <alignment horizontal="center"/>
    </xf>
    <xf fontId="0" fillId="4" borderId="4" numFmtId="0" xfId="0" applyFill="1" applyBorder="1" applyAlignment="1">
      <alignment horizontal="center"/>
    </xf>
    <xf fontId="0" fillId="4" borderId="5" numFmtId="0" xfId="0" applyFill="1" applyBorder="1" applyAlignment="1">
      <alignment horizontal="center"/>
    </xf>
    <xf fontId="0" fillId="4" borderId="6" numFmtId="0" xfId="0" applyFill="1" applyBorder="1" applyAlignment="1">
      <alignment horizontal="center"/>
    </xf>
    <xf fontId="2" fillId="2" borderId="7" numFmtId="0" xfId="0" applyFont="1" applyFill="1" applyBorder="1" applyAlignment="1">
      <alignment horizontal="left" vertical="center" wrapText="1"/>
    </xf>
    <xf fontId="2" fillId="2" borderId="8" numFmtId="0" xfId="0" applyFont="1" applyFill="1" applyBorder="1" applyAlignment="1">
      <alignment horizontal="left" vertical="center" wrapText="1"/>
    </xf>
    <xf fontId="1" fillId="2" borderId="9" numFmtId="0" xfId="0" applyFont="1" applyFill="1" applyBorder="1" applyAlignment="1">
      <alignment horizontal="center" textRotation="90" vertical="center"/>
    </xf>
    <xf fontId="3" fillId="2" borderId="10" numFmtId="14" xfId="0" applyNumberFormat="1" applyFont="1" applyFill="1" applyBorder="1" applyAlignment="1">
      <alignment horizontal="center" textRotation="90" vertical="center"/>
    </xf>
    <xf fontId="3" fillId="5" borderId="10" numFmtId="14" xfId="0" applyNumberFormat="1" applyFont="1" applyFill="1" applyBorder="1" applyAlignment="1">
      <alignment horizontal="center" textRotation="90" vertical="center"/>
    </xf>
    <xf fontId="3" fillId="6" borderId="10" numFmtId="14" xfId="0" applyNumberFormat="1" applyFont="1" applyFill="1" applyBorder="1" applyAlignment="1">
      <alignment horizontal="center" textRotation="90" vertical="center"/>
    </xf>
    <xf fontId="3" fillId="2" borderId="10" numFmtId="14" xfId="0" applyNumberFormat="1" applyFont="1" applyFill="1" applyBorder="1" applyAlignment="1">
      <alignment textRotation="90" vertical="center"/>
    </xf>
    <xf fontId="3" fillId="7" borderId="10" numFmtId="14" xfId="0" applyNumberFormat="1" applyFont="1" applyFill="1" applyBorder="1" applyAlignment="1">
      <alignment horizontal="center" textRotation="90" vertical="center"/>
    </xf>
    <xf fontId="4" fillId="2" borderId="0" numFmtId="0" xfId="0" applyFont="1" applyFill="1" applyAlignment="1">
      <alignment horizontal="center" vertical="center" wrapText="1"/>
    </xf>
    <xf fontId="1" fillId="2" borderId="1" numFmtId="0" xfId="0" applyFont="1" applyFill="1" applyBorder="1" applyAlignment="1">
      <alignment horizontal="left" vertical="center" wrapText="1"/>
    </xf>
    <xf fontId="1" fillId="2" borderId="10" numFmtId="0" xfId="0" applyFont="1" applyFill="1" applyBorder="1" applyAlignment="1">
      <alignment horizontal="center" textRotation="90" vertical="center"/>
    </xf>
    <xf fontId="1" fillId="2" borderId="5" numFmtId="0" xfId="0" applyFont="1" applyFill="1" applyBorder="1" applyAlignment="1">
      <alignment horizontal="center" vertical="center"/>
    </xf>
    <xf fontId="1" fillId="2" borderId="6" numFmtId="0" xfId="0" applyFont="1" applyFill="1" applyBorder="1" applyAlignment="1">
      <alignment horizontal="center" vertical="center"/>
    </xf>
    <xf fontId="5" fillId="2" borderId="1" numFmtId="0" xfId="0" applyFont="1" applyFill="1" applyBorder="1" applyAlignment="1">
      <alignment horizontal="left" vertical="center" wrapText="1"/>
    </xf>
    <xf fontId="1" fillId="2" borderId="4" numFmtId="0" xfId="0" applyFont="1" applyFill="1" applyBorder="1" applyAlignment="1">
      <alignment horizontal="center"/>
    </xf>
    <xf fontId="1" fillId="2" borderId="6" numFmtId="0" xfId="0" applyFont="1" applyFill="1" applyBorder="1" applyAlignment="1">
      <alignment horizontal="center"/>
    </xf>
    <xf fontId="5" fillId="2" borderId="1" numFmtId="0" xfId="0" applyFont="1" applyFill="1" applyBorder="1" applyAlignment="1">
      <alignment horizontal="left"/>
    </xf>
    <xf fontId="1" fillId="2" borderId="11" numFmtId="0" xfId="0" applyFont="1" applyFill="1" applyBorder="1" applyAlignment="1">
      <alignment horizontal="center" textRotation="90" vertical="center"/>
    </xf>
    <xf fontId="3" fillId="2" borderId="11" numFmtId="14" xfId="0" applyNumberFormat="1" applyFont="1" applyFill="1" applyBorder="1" applyAlignment="1">
      <alignment horizontal="center" textRotation="90" vertical="center"/>
    </xf>
    <xf fontId="3" fillId="5" borderId="11" numFmtId="14" xfId="0" applyNumberFormat="1" applyFont="1" applyFill="1" applyBorder="1" applyAlignment="1">
      <alignment horizontal="center" textRotation="90" vertical="center"/>
    </xf>
    <xf fontId="3" fillId="6" borderId="11" numFmtId="14" xfId="0" applyNumberFormat="1" applyFont="1" applyFill="1" applyBorder="1" applyAlignment="1">
      <alignment horizontal="center" textRotation="90" vertical="center"/>
    </xf>
    <xf fontId="3" fillId="2" borderId="11" numFmtId="14" xfId="0" applyNumberFormat="1" applyFont="1" applyFill="1" applyBorder="1" applyAlignment="1">
      <alignment textRotation="90" vertical="center"/>
    </xf>
    <xf fontId="3" fillId="7" borderId="11" numFmtId="14" xfId="0" applyNumberFormat="1" applyFont="1" applyFill="1" applyBorder="1" applyAlignment="1">
      <alignment horizontal="center" textRotation="90" vertical="center"/>
    </xf>
    <xf fontId="5" fillId="2" borderId="1" numFmtId="0" xfId="0" applyFont="1" applyFill="1" applyBorder="1" applyAlignment="1">
      <alignment horizontal="left" wrapText="1"/>
    </xf>
    <xf fontId="1" fillId="2" borderId="4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9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6" fillId="2" borderId="6" numFmtId="0" xfId="0" applyFont="1" applyFill="1" applyBorder="1" applyAlignment="1">
      <alignment horizontal="center" vertical="center" wrapText="1"/>
    </xf>
    <xf fontId="6" fillId="2" borderId="11" numFmtId="0" xfId="0" applyFont="1" applyFill="1" applyBorder="1" applyAlignment="1">
      <alignment horizontal="center" textRotation="90" vertical="center" wrapText="1"/>
    </xf>
    <xf fontId="1" fillId="2" borderId="11" numFmtId="0" xfId="0" applyFont="1" applyFill="1" applyBorder="1" applyAlignment="1">
      <alignment horizontal="center" vertical="center"/>
    </xf>
    <xf fontId="5" fillId="2" borderId="8" numFmtId="0" xfId="0" applyFont="1" applyFill="1" applyBorder="1" applyAlignment="1">
      <alignment horizontal="center" vertical="center" wrapText="1"/>
    </xf>
    <xf fontId="5" fillId="2" borderId="4" numFmtId="0" xfId="0" applyFont="1" applyFill="1" applyBorder="1" applyAlignment="1">
      <alignment horizontal="center" vertical="center" wrapText="1"/>
    </xf>
    <xf fontId="4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/>
    </xf>
    <xf fontId="7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horizontal="center" vertical="top"/>
    </xf>
    <xf fontId="8" fillId="2" borderId="1" numFmtId="164" xfId="1" applyNumberFormat="1" applyFont="1" applyFill="1" applyBorder="1"/>
    <xf fontId="0" fillId="8" borderId="0" numFmtId="0" xfId="0" applyFill="1"/>
    <xf fontId="9" fillId="2" borderId="1" numFmtId="0" xfId="0" applyFont="1" applyFill="1" applyBorder="1" applyAlignment="1">
      <alignment vertical="top" wrapText="1"/>
    </xf>
    <xf fontId="4" fillId="2" borderId="4" numFmtId="0" xfId="0" applyFont="1" applyFill="1" applyBorder="1" applyAlignment="1">
      <alignment horizontal="center" vertical="center" wrapText="1"/>
    </xf>
    <xf fontId="4" fillId="2" borderId="5" numFmtId="0" xfId="0" applyFont="1" applyFill="1" applyBorder="1" applyAlignment="1">
      <alignment horizontal="center" vertical="center" wrapText="1"/>
    </xf>
    <xf fontId="8" fillId="2" borderId="9" numFmtId="164" xfId="1" applyNumberFormat="1" applyFont="1" applyFill="1" applyBorder="1"/>
    <xf fontId="1" fillId="0" borderId="4" numFmtId="0" xfId="0" applyFont="1" applyBorder="1" applyAlignment="1">
      <alignment horizontal="center" vertical="top"/>
    </xf>
    <xf fontId="1" fillId="2" borderId="12" numFmtId="0" xfId="0" applyFont="1" applyFill="1" applyBorder="1" applyAlignment="1">
      <alignment horizontal="center" vertical="center"/>
    </xf>
    <xf fontId="1" fillId="2" borderId="0" numFmt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BS8" activeCellId="0" sqref="BS8"/>
    </sheetView>
  </sheetViews>
  <sheetFormatPr defaultColWidth="3.625" defaultRowHeight="16.5" customHeight="1"/>
  <cols>
    <col min="1" max="1" style="2" width="3.625"/>
    <col customWidth="1" min="2" max="3" style="1" width="21"/>
    <col customWidth="1" min="4" max="4" style="1" width="8"/>
    <col customWidth="1" min="5" max="5" style="1" width="5.625"/>
    <col min="6" max="16384" style="1" width="3.625"/>
  </cols>
  <sheetData>
    <row r="1" ht="16.5" customHeight="1">
      <c r="A1" s="3" t="s">
        <v>0</v>
      </c>
      <c r="B1" s="4" t="s">
        <v>1</v>
      </c>
      <c r="C1" s="4"/>
      <c r="D1" s="5"/>
      <c r="F1" s="6">
        <v>3</v>
      </c>
      <c r="G1" s="7"/>
      <c r="H1" s="8"/>
      <c r="I1" s="6">
        <v>3</v>
      </c>
      <c r="J1" s="7"/>
      <c r="K1" s="8"/>
      <c r="L1" s="6">
        <v>2</v>
      </c>
      <c r="M1" s="8"/>
      <c r="N1" s="6">
        <v>3</v>
      </c>
      <c r="O1" s="7"/>
      <c r="P1" s="8"/>
      <c r="Q1" s="6">
        <v>3</v>
      </c>
      <c r="R1" s="7"/>
      <c r="S1" s="8"/>
      <c r="T1" s="9">
        <v>1</v>
      </c>
      <c r="U1" s="6">
        <v>3</v>
      </c>
      <c r="V1" s="7"/>
      <c r="W1" s="8"/>
      <c r="X1" s="6">
        <v>3</v>
      </c>
      <c r="Y1" s="7"/>
      <c r="Z1" s="8"/>
      <c r="AA1" s="9">
        <v>1</v>
      </c>
      <c r="AB1" s="9">
        <v>1</v>
      </c>
      <c r="AC1" s="6">
        <v>3</v>
      </c>
      <c r="AD1" s="7"/>
      <c r="AE1" s="8"/>
      <c r="AF1" s="9">
        <v>1</v>
      </c>
      <c r="AG1" s="9">
        <v>1</v>
      </c>
      <c r="AH1" s="9">
        <v>1</v>
      </c>
      <c r="AI1" s="9">
        <v>1</v>
      </c>
      <c r="AJ1" s="6">
        <v>4</v>
      </c>
      <c r="AK1" s="7"/>
      <c r="AL1" s="7"/>
      <c r="AM1" s="8"/>
      <c r="AN1" s="10">
        <v>4</v>
      </c>
      <c r="AO1" s="11"/>
      <c r="AP1" s="11"/>
      <c r="AQ1" s="12"/>
      <c r="AR1" s="6">
        <v>4</v>
      </c>
      <c r="AS1" s="7"/>
      <c r="AT1" s="7"/>
      <c r="AU1" s="8"/>
      <c r="AV1" s="6">
        <v>4</v>
      </c>
      <c r="AW1" s="7"/>
      <c r="AX1" s="7"/>
      <c r="AY1" s="8"/>
      <c r="AZ1" s="6">
        <v>4</v>
      </c>
      <c r="BA1" s="7"/>
      <c r="BB1" s="7"/>
      <c r="BC1" s="8"/>
      <c r="BD1" s="6">
        <v>4</v>
      </c>
      <c r="BE1" s="7"/>
      <c r="BF1" s="7"/>
      <c r="BG1" s="8"/>
      <c r="BH1" s="6">
        <v>4</v>
      </c>
      <c r="BI1" s="7"/>
      <c r="BJ1" s="7"/>
      <c r="BK1" s="8"/>
      <c r="BL1" s="13">
        <v>3</v>
      </c>
      <c r="BM1" s="14"/>
      <c r="BN1" s="15"/>
      <c r="BO1" s="9">
        <v>1</v>
      </c>
      <c r="BP1" s="2"/>
      <c r="BQ1" s="1">
        <f>SUM(E1:BO1)</f>
        <v>62</v>
      </c>
    </row>
    <row r="2" ht="11.25" customHeight="1">
      <c r="A2" s="3"/>
      <c r="B2" s="16"/>
      <c r="C2" s="16"/>
      <c r="D2" s="17"/>
      <c r="E2" s="18" t="s">
        <v>2</v>
      </c>
      <c r="F2" s="19">
        <v>46209</v>
      </c>
      <c r="G2" s="19">
        <v>46209</v>
      </c>
      <c r="H2" s="19">
        <v>46209</v>
      </c>
      <c r="I2" s="19">
        <v>46210</v>
      </c>
      <c r="J2" s="19">
        <v>46210</v>
      </c>
      <c r="K2" s="19">
        <v>46210</v>
      </c>
      <c r="L2" s="19">
        <v>46213</v>
      </c>
      <c r="M2" s="19">
        <v>46213</v>
      </c>
      <c r="N2" s="19">
        <v>46216</v>
      </c>
      <c r="O2" s="19">
        <v>46216</v>
      </c>
      <c r="P2" s="19">
        <v>46216</v>
      </c>
      <c r="Q2" s="19">
        <v>46217</v>
      </c>
      <c r="R2" s="19">
        <v>46217</v>
      </c>
      <c r="S2" s="19">
        <v>46217</v>
      </c>
      <c r="T2" s="19">
        <v>46220</v>
      </c>
      <c r="U2" s="19">
        <v>46223</v>
      </c>
      <c r="V2" s="19">
        <v>46223</v>
      </c>
      <c r="W2" s="19">
        <v>46223</v>
      </c>
      <c r="X2" s="19">
        <v>46224</v>
      </c>
      <c r="Y2" s="19">
        <v>46224</v>
      </c>
      <c r="Z2" s="19">
        <v>46224</v>
      </c>
      <c r="AA2" s="19">
        <v>46225</v>
      </c>
      <c r="AB2" s="19">
        <v>46227</v>
      </c>
      <c r="AC2" s="19">
        <v>46230</v>
      </c>
      <c r="AD2" s="19">
        <v>46230</v>
      </c>
      <c r="AE2" s="19">
        <v>46230</v>
      </c>
      <c r="AF2" s="19">
        <v>46232</v>
      </c>
      <c r="AG2" s="20">
        <v>46234</v>
      </c>
      <c r="AH2" s="19">
        <v>46274</v>
      </c>
      <c r="AI2" s="19">
        <v>46276</v>
      </c>
      <c r="AJ2" s="19">
        <v>46282</v>
      </c>
      <c r="AK2" s="19">
        <v>46282</v>
      </c>
      <c r="AL2" s="19">
        <v>46282</v>
      </c>
      <c r="AM2" s="19">
        <v>46282</v>
      </c>
      <c r="AN2" s="19">
        <v>46283</v>
      </c>
      <c r="AO2" s="19">
        <v>46283</v>
      </c>
      <c r="AP2" s="19">
        <v>46283</v>
      </c>
      <c r="AQ2" s="19">
        <v>46283</v>
      </c>
      <c r="AR2" s="19">
        <v>46289</v>
      </c>
      <c r="AS2" s="19">
        <v>46289</v>
      </c>
      <c r="AT2" s="19">
        <v>46289</v>
      </c>
      <c r="AU2" s="19">
        <v>46289</v>
      </c>
      <c r="AV2" s="21">
        <v>46290</v>
      </c>
      <c r="AW2" s="21">
        <v>46290</v>
      </c>
      <c r="AX2" s="21">
        <v>46290</v>
      </c>
      <c r="AY2" s="21">
        <v>46290</v>
      </c>
      <c r="AZ2" s="19">
        <v>46296</v>
      </c>
      <c r="BA2" s="19">
        <v>46296</v>
      </c>
      <c r="BB2" s="19">
        <v>46296</v>
      </c>
      <c r="BC2" s="19">
        <v>46296</v>
      </c>
      <c r="BD2" s="22">
        <v>46303</v>
      </c>
      <c r="BE2" s="22">
        <v>46303</v>
      </c>
      <c r="BF2" s="22">
        <v>46303</v>
      </c>
      <c r="BG2" s="22">
        <v>46303</v>
      </c>
      <c r="BH2" s="19">
        <v>9.0999999999999996</v>
      </c>
      <c r="BI2" s="19">
        <v>9.0999999999999996</v>
      </c>
      <c r="BJ2" s="19">
        <v>9.0999999999999996</v>
      </c>
      <c r="BK2" s="19">
        <v>9.0999999999999996</v>
      </c>
      <c r="BL2" s="19">
        <v>46310</v>
      </c>
      <c r="BM2" s="19">
        <v>46310</v>
      </c>
      <c r="BN2" s="23">
        <v>46310</v>
      </c>
      <c r="BO2" s="23">
        <v>46311</v>
      </c>
      <c r="BP2" s="24"/>
    </row>
    <row r="3" ht="23.949999999999999" customHeight="1">
      <c r="A3" s="25" t="s">
        <v>3</v>
      </c>
      <c r="B3" s="25"/>
      <c r="C3" s="25"/>
      <c r="D3" s="25"/>
      <c r="E3" s="26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1"/>
      <c r="AW3" s="21"/>
      <c r="AX3" s="21"/>
      <c r="AY3" s="21"/>
      <c r="AZ3" s="19"/>
      <c r="BA3" s="19"/>
      <c r="BB3" s="19"/>
      <c r="BC3" s="19"/>
      <c r="BD3" s="22"/>
      <c r="BE3" s="22"/>
      <c r="BF3" s="22"/>
      <c r="BG3" s="22"/>
      <c r="BH3" s="19"/>
      <c r="BI3" s="19"/>
      <c r="BJ3" s="19"/>
      <c r="BK3" s="19"/>
      <c r="BL3" s="19"/>
      <c r="BM3" s="19"/>
      <c r="BN3" s="23"/>
      <c r="BO3" s="23"/>
      <c r="BP3" s="24"/>
    </row>
    <row r="4" ht="24.800000000000001" customHeight="1">
      <c r="A4" s="25" t="s">
        <v>4</v>
      </c>
      <c r="B4" s="25"/>
      <c r="C4" s="27" t="s">
        <v>5</v>
      </c>
      <c r="D4" s="28"/>
      <c r="E4" s="26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20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1"/>
      <c r="AW4" s="21"/>
      <c r="AX4" s="21"/>
      <c r="AY4" s="21"/>
      <c r="AZ4" s="19"/>
      <c r="BA4" s="19"/>
      <c r="BB4" s="19"/>
      <c r="BC4" s="19"/>
      <c r="BD4" s="22"/>
      <c r="BE4" s="22"/>
      <c r="BF4" s="22"/>
      <c r="BG4" s="22"/>
      <c r="BH4" s="19"/>
      <c r="BI4" s="19"/>
      <c r="BJ4" s="19"/>
      <c r="BK4" s="19"/>
      <c r="BL4" s="19"/>
      <c r="BM4" s="19"/>
      <c r="BN4" s="23"/>
      <c r="BO4" s="23"/>
      <c r="BP4" s="24"/>
    </row>
    <row r="5" ht="16.5" customHeight="1">
      <c r="A5" s="29" t="s">
        <v>6</v>
      </c>
      <c r="B5" s="29"/>
      <c r="C5" s="30">
        <v>60</v>
      </c>
      <c r="D5" s="31"/>
      <c r="E5" s="26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0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21"/>
      <c r="AW5" s="21"/>
      <c r="AX5" s="21"/>
      <c r="AY5" s="21"/>
      <c r="AZ5" s="19"/>
      <c r="BA5" s="19"/>
      <c r="BB5" s="19"/>
      <c r="BC5" s="19"/>
      <c r="BD5" s="22"/>
      <c r="BE5" s="22"/>
      <c r="BF5" s="22"/>
      <c r="BG5" s="22"/>
      <c r="BH5" s="19"/>
      <c r="BI5" s="19"/>
      <c r="BJ5" s="19"/>
      <c r="BK5" s="19"/>
      <c r="BL5" s="19"/>
      <c r="BM5" s="19"/>
      <c r="BN5" s="23"/>
      <c r="BO5" s="23"/>
      <c r="BP5" s="24"/>
    </row>
    <row r="6" ht="16.5" customHeight="1">
      <c r="A6" s="29" t="s">
        <v>7</v>
      </c>
      <c r="B6" s="29"/>
      <c r="C6" s="30">
        <v>2</v>
      </c>
      <c r="D6" s="31"/>
      <c r="E6" s="26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0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21"/>
      <c r="AW6" s="21"/>
      <c r="AX6" s="21"/>
      <c r="AY6" s="21"/>
      <c r="AZ6" s="19"/>
      <c r="BA6" s="19"/>
      <c r="BB6" s="19"/>
      <c r="BC6" s="19"/>
      <c r="BD6" s="22"/>
      <c r="BE6" s="22"/>
      <c r="BF6" s="22"/>
      <c r="BG6" s="22"/>
      <c r="BH6" s="19"/>
      <c r="BI6" s="19"/>
      <c r="BJ6" s="19"/>
      <c r="BK6" s="19"/>
      <c r="BL6" s="19"/>
      <c r="BM6" s="19"/>
      <c r="BN6" s="23"/>
      <c r="BO6" s="23"/>
      <c r="BP6" s="24"/>
    </row>
    <row r="7" ht="16.5" customHeight="1">
      <c r="A7" s="32" t="s">
        <v>8</v>
      </c>
      <c r="B7" s="32"/>
      <c r="C7" s="30">
        <v>13</v>
      </c>
      <c r="D7" s="31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5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6"/>
      <c r="AW7" s="36"/>
      <c r="AX7" s="36"/>
      <c r="AY7" s="36"/>
      <c r="AZ7" s="34"/>
      <c r="BA7" s="34"/>
      <c r="BB7" s="34"/>
      <c r="BC7" s="34"/>
      <c r="BD7" s="37"/>
      <c r="BE7" s="37"/>
      <c r="BF7" s="37"/>
      <c r="BG7" s="37"/>
      <c r="BH7" s="34"/>
      <c r="BI7" s="34"/>
      <c r="BJ7" s="34"/>
      <c r="BK7" s="34"/>
      <c r="BL7" s="34"/>
      <c r="BM7" s="34"/>
      <c r="BN7" s="38"/>
      <c r="BO7" s="38"/>
      <c r="BP7" s="24"/>
    </row>
    <row r="8" ht="23.949999999999999" customHeight="1">
      <c r="A8" s="39" t="s">
        <v>9</v>
      </c>
      <c r="B8" s="39"/>
      <c r="C8" s="40">
        <f>SUM(C5:D7)</f>
        <v>75</v>
      </c>
      <c r="D8" s="28"/>
      <c r="E8" s="41"/>
      <c r="F8" s="42">
        <v>7</v>
      </c>
      <c r="G8" s="42">
        <v>8</v>
      </c>
      <c r="H8" s="42">
        <v>9</v>
      </c>
      <c r="I8" s="42">
        <v>10</v>
      </c>
      <c r="J8" s="42">
        <v>11</v>
      </c>
      <c r="K8" s="42">
        <v>12</v>
      </c>
      <c r="L8" s="42">
        <v>13</v>
      </c>
      <c r="M8" s="42">
        <v>14</v>
      </c>
      <c r="N8" s="42">
        <v>15</v>
      </c>
      <c r="O8" s="42">
        <v>16</v>
      </c>
      <c r="P8" s="42">
        <v>17</v>
      </c>
      <c r="Q8" s="42">
        <v>18</v>
      </c>
      <c r="R8" s="42">
        <v>19</v>
      </c>
      <c r="S8" s="42">
        <v>20</v>
      </c>
      <c r="T8" s="42">
        <v>21</v>
      </c>
      <c r="U8" s="42">
        <v>22</v>
      </c>
      <c r="V8" s="42">
        <v>23</v>
      </c>
      <c r="W8" s="42">
        <v>24</v>
      </c>
      <c r="X8" s="42">
        <v>25</v>
      </c>
      <c r="Y8" s="42">
        <v>26</v>
      </c>
      <c r="Z8" s="42">
        <v>27</v>
      </c>
      <c r="AA8" s="42">
        <v>28</v>
      </c>
      <c r="AB8" s="42">
        <v>29</v>
      </c>
      <c r="AC8" s="42">
        <v>30</v>
      </c>
      <c r="AD8" s="42">
        <v>31</v>
      </c>
      <c r="AE8" s="42">
        <v>32</v>
      </c>
      <c r="AF8" s="42">
        <v>33</v>
      </c>
      <c r="AG8" s="42">
        <v>34</v>
      </c>
      <c r="AH8" s="42">
        <v>35</v>
      </c>
      <c r="AI8" s="42">
        <v>36</v>
      </c>
      <c r="AJ8" s="42">
        <v>37</v>
      </c>
      <c r="AK8" s="42">
        <v>38</v>
      </c>
      <c r="AL8" s="42">
        <v>39</v>
      </c>
      <c r="AM8" s="42">
        <v>40</v>
      </c>
      <c r="AN8" s="42">
        <v>41</v>
      </c>
      <c r="AO8" s="42">
        <v>42</v>
      </c>
      <c r="AP8" s="42">
        <v>43</v>
      </c>
      <c r="AQ8" s="42">
        <v>44</v>
      </c>
      <c r="AR8" s="42">
        <v>45</v>
      </c>
      <c r="AS8" s="42">
        <v>46</v>
      </c>
      <c r="AT8" s="42">
        <v>47</v>
      </c>
      <c r="AU8" s="42">
        <v>48</v>
      </c>
      <c r="AV8" s="42">
        <v>49</v>
      </c>
      <c r="AW8" s="42">
        <v>50</v>
      </c>
      <c r="AX8" s="42">
        <v>51</v>
      </c>
      <c r="AY8" s="42">
        <v>52</v>
      </c>
      <c r="AZ8" s="42">
        <v>53</v>
      </c>
      <c r="BA8" s="42">
        <v>54</v>
      </c>
      <c r="BB8" s="42">
        <v>55</v>
      </c>
      <c r="BC8" s="42">
        <v>56</v>
      </c>
      <c r="BD8" s="42">
        <v>57</v>
      </c>
      <c r="BE8" s="42">
        <v>58</v>
      </c>
      <c r="BF8" s="42">
        <v>59</v>
      </c>
      <c r="BG8" s="42">
        <v>60</v>
      </c>
      <c r="BH8" s="42">
        <v>61</v>
      </c>
      <c r="BI8" s="42">
        <v>62</v>
      </c>
      <c r="BJ8" s="42">
        <v>63</v>
      </c>
      <c r="BK8" s="42">
        <v>64</v>
      </c>
      <c r="BL8" s="42">
        <v>65</v>
      </c>
      <c r="BM8" s="42">
        <v>66</v>
      </c>
      <c r="BN8" s="42">
        <v>67</v>
      </c>
      <c r="BO8" s="42">
        <v>68</v>
      </c>
      <c r="BP8" s="24"/>
    </row>
    <row r="9" ht="16.5" customHeight="1">
      <c r="A9" s="43" t="s">
        <v>10</v>
      </c>
      <c r="B9" s="44" t="s">
        <v>11</v>
      </c>
      <c r="C9" s="45" t="s">
        <v>12</v>
      </c>
      <c r="D9" s="44"/>
      <c r="E9" s="46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24"/>
    </row>
    <row r="10" ht="16.5" customHeight="1">
      <c r="A10" s="43"/>
      <c r="B10" s="44"/>
      <c r="C10" s="48"/>
      <c r="D10" s="44" t="s">
        <v>13</v>
      </c>
      <c r="E10" s="49" t="s">
        <v>14</v>
      </c>
      <c r="F10" s="50">
        <v>1</v>
      </c>
      <c r="G10" s="50">
        <v>1</v>
      </c>
      <c r="H10" s="50">
        <v>1</v>
      </c>
      <c r="I10" s="50">
        <v>1</v>
      </c>
      <c r="J10" s="50">
        <v>1</v>
      </c>
      <c r="K10" s="50">
        <v>1</v>
      </c>
      <c r="L10" s="50">
        <v>1</v>
      </c>
      <c r="M10" s="50">
        <v>1</v>
      </c>
      <c r="N10" s="50">
        <v>1</v>
      </c>
      <c r="O10" s="50">
        <v>1</v>
      </c>
      <c r="P10" s="50">
        <v>1</v>
      </c>
      <c r="Q10" s="50">
        <v>1</v>
      </c>
      <c r="R10" s="50">
        <v>1</v>
      </c>
      <c r="S10" s="50">
        <v>1</v>
      </c>
      <c r="T10" s="50">
        <v>1</v>
      </c>
      <c r="U10" s="50">
        <v>1</v>
      </c>
      <c r="V10" s="50">
        <v>1</v>
      </c>
      <c r="W10" s="50">
        <v>1</v>
      </c>
      <c r="X10" s="50">
        <v>1</v>
      </c>
      <c r="Y10" s="50">
        <v>1</v>
      </c>
      <c r="Z10" s="50">
        <v>1</v>
      </c>
      <c r="AA10" s="50">
        <v>1</v>
      </c>
      <c r="AB10" s="50">
        <v>1</v>
      </c>
      <c r="AC10" s="50">
        <v>1</v>
      </c>
      <c r="AD10" s="50">
        <v>1</v>
      </c>
      <c r="AE10" s="50">
        <v>1</v>
      </c>
      <c r="AF10" s="50">
        <v>1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M10" s="50">
        <v>1</v>
      </c>
      <c r="AN10" s="50">
        <v>1</v>
      </c>
      <c r="AO10" s="50">
        <v>1</v>
      </c>
      <c r="AP10" s="50">
        <v>1</v>
      </c>
      <c r="AQ10" s="50">
        <v>1</v>
      </c>
      <c r="AR10" s="50">
        <v>1</v>
      </c>
      <c r="AS10" s="50">
        <v>1</v>
      </c>
      <c r="AT10" s="50">
        <v>1</v>
      </c>
      <c r="AU10" s="50">
        <v>1</v>
      </c>
      <c r="AV10" s="50">
        <v>1</v>
      </c>
      <c r="AW10" s="50">
        <v>1</v>
      </c>
      <c r="AX10" s="50">
        <v>1</v>
      </c>
      <c r="AY10" s="50">
        <v>1</v>
      </c>
      <c r="AZ10" s="50">
        <v>1</v>
      </c>
      <c r="BA10" s="50">
        <v>1</v>
      </c>
      <c r="BB10" s="50">
        <v>1</v>
      </c>
      <c r="BC10" s="50">
        <v>1</v>
      </c>
      <c r="BD10" s="50">
        <v>1</v>
      </c>
      <c r="BE10" s="50">
        <v>1</v>
      </c>
      <c r="BF10" s="50">
        <v>1</v>
      </c>
      <c r="BG10" s="50">
        <v>1</v>
      </c>
      <c r="BH10" s="50">
        <v>1</v>
      </c>
      <c r="BI10" s="50">
        <v>1</v>
      </c>
      <c r="BJ10" s="50">
        <v>1</v>
      </c>
      <c r="BK10" s="50">
        <v>1</v>
      </c>
      <c r="BL10" s="50">
        <v>1</v>
      </c>
      <c r="BM10" s="50">
        <v>1</v>
      </c>
      <c r="BN10" s="50">
        <v>1</v>
      </c>
      <c r="BO10" s="50">
        <v>1</v>
      </c>
      <c r="BP10" s="24"/>
    </row>
    <row r="11" ht="16.5" customHeight="1">
      <c r="A11" s="51">
        <v>1</v>
      </c>
      <c r="B11" s="52" t="s">
        <v>15</v>
      </c>
      <c r="C11" s="52" t="s">
        <v>16</v>
      </c>
      <c r="D11" s="53">
        <f t="shared" ref="D11:D28" si="0">COUNT(F11:BO11)</f>
        <v>9</v>
      </c>
      <c r="E11" s="54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>
        <v>0</v>
      </c>
      <c r="Y11" s="50">
        <v>0</v>
      </c>
      <c r="Z11" s="50">
        <v>0</v>
      </c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>
        <v>0</v>
      </c>
      <c r="AS11" s="50"/>
      <c r="AT11" s="50"/>
      <c r="AU11" s="50"/>
      <c r="AV11" s="50"/>
      <c r="AW11" s="50"/>
      <c r="AX11" s="50"/>
      <c r="AY11" s="50"/>
      <c r="AZ11" s="50">
        <v>0</v>
      </c>
      <c r="BA11" s="50"/>
      <c r="BB11" s="50"/>
      <c r="BC11" s="50"/>
      <c r="BD11" s="50">
        <v>0</v>
      </c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24"/>
    </row>
    <row r="12" ht="16.5" customHeight="1">
      <c r="A12" s="51">
        <v>2</v>
      </c>
      <c r="B12" s="52" t="s">
        <v>17</v>
      </c>
      <c r="C12" s="52" t="s">
        <v>18</v>
      </c>
      <c r="D12" s="53">
        <f t="shared" si="0"/>
        <v>1</v>
      </c>
      <c r="E12" s="54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>
        <v>0</v>
      </c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24"/>
    </row>
    <row r="13" ht="16.5" customHeight="1">
      <c r="A13" s="51">
        <v>3</v>
      </c>
      <c r="B13" s="52" t="s">
        <v>19</v>
      </c>
      <c r="C13" s="52" t="s">
        <v>20</v>
      </c>
      <c r="D13" s="53">
        <f t="shared" si="0"/>
        <v>22</v>
      </c>
      <c r="E13" s="54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/>
      <c r="AK13" s="50"/>
      <c r="AL13" s="50"/>
      <c r="AM13" s="50"/>
      <c r="AN13" s="50"/>
      <c r="AO13" s="50"/>
      <c r="AP13" s="50"/>
      <c r="AQ13" s="50"/>
      <c r="AR13" s="50">
        <v>0</v>
      </c>
      <c r="AS13" s="50"/>
      <c r="AT13" s="50"/>
      <c r="AU13" s="50"/>
      <c r="AV13" s="50"/>
      <c r="AW13" s="50"/>
      <c r="AX13" s="50"/>
      <c r="AY13" s="50"/>
      <c r="AZ13" s="50">
        <v>0</v>
      </c>
      <c r="BA13" s="50"/>
      <c r="BB13" s="50"/>
      <c r="BC13" s="50"/>
      <c r="BD13" s="50">
        <v>0</v>
      </c>
      <c r="BE13" s="50"/>
      <c r="BF13" s="50"/>
      <c r="BG13" s="50"/>
      <c r="BH13" s="50"/>
      <c r="BI13" s="50"/>
      <c r="BJ13" s="50"/>
      <c r="BK13" s="50"/>
      <c r="BL13" s="50">
        <v>0</v>
      </c>
      <c r="BM13" s="50">
        <v>0</v>
      </c>
      <c r="BN13" s="50">
        <v>0</v>
      </c>
      <c r="BO13" s="50">
        <v>0</v>
      </c>
      <c r="BP13" s="24"/>
      <c r="BT13" s="55"/>
      <c r="BU13" s="1" t="s">
        <v>21</v>
      </c>
    </row>
    <row r="14" ht="16.5" customHeight="1">
      <c r="A14" s="51">
        <v>4</v>
      </c>
      <c r="B14" s="52" t="s">
        <v>22</v>
      </c>
      <c r="C14" s="56" t="s">
        <v>23</v>
      </c>
      <c r="D14" s="53">
        <f t="shared" si="0"/>
        <v>16</v>
      </c>
      <c r="E14" s="54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/>
      <c r="AI14" s="50">
        <v>0</v>
      </c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>
        <v>0</v>
      </c>
      <c r="BA14" s="50"/>
      <c r="BB14" s="50"/>
      <c r="BC14" s="50"/>
      <c r="BD14" s="50">
        <v>0</v>
      </c>
      <c r="BE14" s="50"/>
      <c r="BF14" s="50"/>
      <c r="BG14" s="50"/>
      <c r="BH14" s="50"/>
      <c r="BI14" s="50"/>
      <c r="BJ14" s="50"/>
      <c r="BK14" s="50"/>
      <c r="BL14" s="50">
        <v>0</v>
      </c>
      <c r="BM14" s="50">
        <v>0</v>
      </c>
      <c r="BN14" s="50">
        <v>0</v>
      </c>
      <c r="BO14" s="50"/>
      <c r="BP14" s="24"/>
    </row>
    <row r="15" ht="16.5" customHeight="1">
      <c r="A15" s="51">
        <v>5</v>
      </c>
      <c r="B15" s="52" t="s">
        <v>24</v>
      </c>
      <c r="C15" s="52" t="s">
        <v>25</v>
      </c>
      <c r="D15" s="53">
        <f t="shared" si="0"/>
        <v>14</v>
      </c>
      <c r="E15" s="54"/>
      <c r="F15" s="50">
        <v>0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24"/>
    </row>
    <row r="16" ht="16.5" customHeight="1">
      <c r="A16" s="51">
        <v>6</v>
      </c>
      <c r="B16" s="52" t="s">
        <v>26</v>
      </c>
      <c r="C16" s="52" t="s">
        <v>27</v>
      </c>
      <c r="D16" s="53">
        <f t="shared" si="0"/>
        <v>11</v>
      </c>
      <c r="E16" s="54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>
        <v>0</v>
      </c>
      <c r="X16" s="50"/>
      <c r="Y16" s="50"/>
      <c r="Z16" s="50"/>
      <c r="AA16" s="50">
        <v>0</v>
      </c>
      <c r="AB16" s="50"/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/>
      <c r="AI16" s="50">
        <v>0</v>
      </c>
      <c r="AJ16" s="50"/>
      <c r="AK16" s="50"/>
      <c r="AL16" s="50"/>
      <c r="AM16" s="50"/>
      <c r="AN16" s="50">
        <v>0</v>
      </c>
      <c r="AO16" s="50"/>
      <c r="AP16" s="50"/>
      <c r="AQ16" s="50"/>
      <c r="AR16" s="50">
        <v>0</v>
      </c>
      <c r="AS16" s="50"/>
      <c r="AT16" s="50"/>
      <c r="AU16" s="50"/>
      <c r="AV16" s="50"/>
      <c r="AW16" s="50"/>
      <c r="AX16" s="50"/>
      <c r="AY16" s="50"/>
      <c r="AZ16" s="50">
        <v>0</v>
      </c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24"/>
    </row>
    <row r="17" ht="16.5" customHeight="1">
      <c r="A17" s="51">
        <v>7</v>
      </c>
      <c r="B17" s="52" t="s">
        <v>28</v>
      </c>
      <c r="C17" s="52" t="s">
        <v>29</v>
      </c>
      <c r="D17" s="53">
        <f t="shared" si="0"/>
        <v>6</v>
      </c>
      <c r="E17" s="54"/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7" t="s">
        <v>30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24"/>
    </row>
    <row r="18" ht="16.5" customHeight="1">
      <c r="A18" s="51">
        <v>8</v>
      </c>
      <c r="B18" s="52" t="s">
        <v>22</v>
      </c>
      <c r="C18" s="52" t="s">
        <v>31</v>
      </c>
      <c r="D18" s="53">
        <f t="shared" si="0"/>
        <v>10</v>
      </c>
      <c r="E18" s="54"/>
      <c r="F18" s="50">
        <v>0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/>
      <c r="AD18" s="50"/>
      <c r="AE18" s="50"/>
      <c r="AF18" s="50"/>
      <c r="AG18" s="50">
        <v>0</v>
      </c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24"/>
    </row>
    <row r="19" ht="16.5" customHeight="1">
      <c r="A19" s="51">
        <v>9</v>
      </c>
      <c r="B19" s="52" t="s">
        <v>22</v>
      </c>
      <c r="C19" s="52" t="s">
        <v>32</v>
      </c>
      <c r="D19" s="53">
        <f t="shared" si="0"/>
        <v>12</v>
      </c>
      <c r="E19" s="54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>
        <v>0</v>
      </c>
      <c r="BM19" s="50">
        <v>0</v>
      </c>
      <c r="BN19" s="50">
        <v>0</v>
      </c>
      <c r="BO19" s="50"/>
      <c r="BP19" s="24"/>
    </row>
    <row r="20" ht="16.5" customHeight="1">
      <c r="A20" s="51">
        <v>10</v>
      </c>
      <c r="B20" s="52" t="s">
        <v>22</v>
      </c>
      <c r="C20" s="52" t="s">
        <v>33</v>
      </c>
      <c r="D20" s="53">
        <f t="shared" si="0"/>
        <v>10</v>
      </c>
      <c r="E20" s="54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/>
      <c r="AB20" s="50"/>
      <c r="AC20" s="50">
        <v>0</v>
      </c>
      <c r="AD20" s="50">
        <v>0</v>
      </c>
      <c r="AE20" s="50">
        <v>0</v>
      </c>
      <c r="AF20" s="50">
        <v>0</v>
      </c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24"/>
    </row>
    <row r="21" ht="16.5" customHeight="1">
      <c r="A21" s="51">
        <v>11</v>
      </c>
      <c r="B21" s="52" t="s">
        <v>34</v>
      </c>
      <c r="C21" s="52" t="s">
        <v>35</v>
      </c>
      <c r="D21" s="53">
        <f t="shared" si="0"/>
        <v>29</v>
      </c>
      <c r="E21" s="54"/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/>
      <c r="AI21" s="50">
        <v>0</v>
      </c>
      <c r="AJ21" s="57" t="s">
        <v>36</v>
      </c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24"/>
    </row>
    <row r="22" ht="16.5" customHeight="1">
      <c r="A22" s="51">
        <v>12</v>
      </c>
      <c r="B22" s="56" t="s">
        <v>37</v>
      </c>
      <c r="C22" s="52" t="s">
        <v>38</v>
      </c>
      <c r="D22" s="53">
        <f t="shared" si="0"/>
        <v>15</v>
      </c>
      <c r="E22" s="54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/>
      <c r="AK22" s="50"/>
      <c r="AL22" s="50"/>
      <c r="AM22" s="50"/>
      <c r="AN22" s="50"/>
      <c r="AO22" s="50"/>
      <c r="AP22" s="50"/>
      <c r="AQ22" s="50"/>
      <c r="AR22" s="50">
        <v>0</v>
      </c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>
        <v>0</v>
      </c>
      <c r="BM22" s="50">
        <v>0</v>
      </c>
      <c r="BN22" s="50"/>
      <c r="BO22" s="50"/>
      <c r="BP22" s="24"/>
    </row>
    <row r="23" ht="16.5" customHeight="1">
      <c r="A23" s="51">
        <v>13</v>
      </c>
      <c r="B23" s="52" t="s">
        <v>39</v>
      </c>
      <c r="C23" s="52" t="s">
        <v>40</v>
      </c>
      <c r="D23" s="53">
        <f t="shared" si="0"/>
        <v>29</v>
      </c>
      <c r="E23" s="54"/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/>
      <c r="AI23" s="50">
        <v>0</v>
      </c>
      <c r="AJ23" s="57" t="s">
        <v>36</v>
      </c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24"/>
    </row>
    <row r="24" ht="16.5" customHeight="1">
      <c r="A24" s="51">
        <v>14</v>
      </c>
      <c r="B24" s="52" t="s">
        <v>41</v>
      </c>
      <c r="C24" s="52" t="s">
        <v>42</v>
      </c>
      <c r="D24" s="53">
        <f t="shared" si="0"/>
        <v>11</v>
      </c>
      <c r="E24" s="54"/>
      <c r="F24" s="50">
        <v>0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>
        <v>0</v>
      </c>
      <c r="Y24" s="50">
        <v>0</v>
      </c>
      <c r="Z24" s="50">
        <v>0</v>
      </c>
      <c r="AA24" s="50">
        <v>0</v>
      </c>
      <c r="AB24" s="50"/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/>
      <c r="AI24" s="50">
        <v>0</v>
      </c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24"/>
    </row>
    <row r="25" ht="16.5" customHeight="1">
      <c r="A25" s="51">
        <v>15</v>
      </c>
      <c r="B25" s="52" t="s">
        <v>43</v>
      </c>
      <c r="C25" s="52" t="s">
        <v>44</v>
      </c>
      <c r="D25" s="53">
        <f t="shared" si="0"/>
        <v>19</v>
      </c>
      <c r="E25" s="54"/>
      <c r="F25" s="50">
        <v>0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/>
      <c r="AJ25" s="50"/>
      <c r="AK25" s="50"/>
      <c r="AL25" s="50"/>
      <c r="AM25" s="50"/>
      <c r="AN25" s="50">
        <v>0</v>
      </c>
      <c r="AO25" s="50"/>
      <c r="AP25" s="50"/>
      <c r="AQ25" s="50"/>
      <c r="AR25" s="50">
        <v>0</v>
      </c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>
        <v>0</v>
      </c>
      <c r="BM25" s="50">
        <v>0</v>
      </c>
      <c r="BN25" s="50"/>
      <c r="BO25" s="50"/>
      <c r="BP25" s="24"/>
    </row>
    <row r="26" ht="16.5" customHeight="1">
      <c r="A26" s="51">
        <v>16</v>
      </c>
      <c r="B26" s="52" t="s">
        <v>45</v>
      </c>
      <c r="C26" s="52" t="s">
        <v>46</v>
      </c>
      <c r="D26" s="53">
        <f t="shared" si="0"/>
        <v>20</v>
      </c>
      <c r="E26" s="54"/>
      <c r="F26" s="50">
        <v>0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/>
      <c r="AK26" s="50"/>
      <c r="AL26" s="50"/>
      <c r="AM26" s="50"/>
      <c r="AN26" s="50"/>
      <c r="AO26" s="50"/>
      <c r="AP26" s="50"/>
      <c r="AQ26" s="50"/>
      <c r="AR26" s="50">
        <v>0</v>
      </c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>
        <v>0</v>
      </c>
      <c r="BE26" s="50"/>
      <c r="BF26" s="50"/>
      <c r="BG26" s="50"/>
      <c r="BH26" s="50"/>
      <c r="BI26" s="50"/>
      <c r="BJ26" s="50"/>
      <c r="BK26" s="50"/>
      <c r="BL26" s="50">
        <v>0</v>
      </c>
      <c r="BM26" s="50">
        <v>0</v>
      </c>
      <c r="BN26" s="50"/>
      <c r="BO26" s="50"/>
      <c r="BP26" s="24"/>
    </row>
    <row r="27" ht="16.5" customHeight="1">
      <c r="A27" s="51">
        <v>17</v>
      </c>
      <c r="B27" s="52" t="s">
        <v>47</v>
      </c>
      <c r="C27" s="52" t="s">
        <v>48</v>
      </c>
      <c r="D27" s="53">
        <f t="shared" si="0"/>
        <v>34</v>
      </c>
      <c r="E27" s="59"/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/>
      <c r="AK27" s="50"/>
      <c r="AL27" s="50"/>
      <c r="AM27" s="50"/>
      <c r="AN27" s="50"/>
      <c r="AO27" s="50"/>
      <c r="AP27" s="50"/>
      <c r="AQ27" s="50"/>
      <c r="AR27" s="50">
        <v>0</v>
      </c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>
        <v>0</v>
      </c>
      <c r="BE27" s="50"/>
      <c r="BF27" s="50"/>
      <c r="BG27" s="50"/>
      <c r="BH27" s="50"/>
      <c r="BI27" s="50"/>
      <c r="BJ27" s="50"/>
      <c r="BK27" s="50"/>
      <c r="BL27" s="50">
        <v>0</v>
      </c>
      <c r="BM27" s="50">
        <v>0</v>
      </c>
      <c r="BN27" s="50"/>
      <c r="BO27" s="50"/>
      <c r="BP27" s="24"/>
    </row>
    <row r="28" ht="16.5" customHeight="1">
      <c r="A28" s="51">
        <v>18</v>
      </c>
      <c r="B28" s="52" t="s">
        <v>49</v>
      </c>
      <c r="C28" s="52" t="s">
        <v>50</v>
      </c>
      <c r="D28" s="60">
        <f t="shared" si="0"/>
        <v>0</v>
      </c>
      <c r="E28" s="61" t="s">
        <v>51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2"/>
    </row>
  </sheetData>
  <mergeCells count="161">
    <mergeCell ref="A1:A2"/>
    <mergeCell ref="B1:D2"/>
    <mergeCell ref="F1:H1"/>
    <mergeCell ref="I1:K1"/>
    <mergeCell ref="L1:M1"/>
    <mergeCell ref="N1:P1"/>
    <mergeCell ref="Q1:S1"/>
    <mergeCell ref="U1:W1"/>
    <mergeCell ref="X1:Z1"/>
    <mergeCell ref="AC1:AE1"/>
    <mergeCell ref="AJ1:AM1"/>
    <mergeCell ref="AN1:AQ1"/>
    <mergeCell ref="AR1:AU1"/>
    <mergeCell ref="AV1:AY1"/>
    <mergeCell ref="AZ1:BC1"/>
    <mergeCell ref="BD1:BG1"/>
    <mergeCell ref="BH1:BK1"/>
    <mergeCell ref="BL1:BN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2:S7"/>
    <mergeCell ref="T2:T7"/>
    <mergeCell ref="U2:U7"/>
    <mergeCell ref="V2:V7"/>
    <mergeCell ref="W2:W7"/>
    <mergeCell ref="X2:X7"/>
    <mergeCell ref="Y2:Y7"/>
    <mergeCell ref="Z2:Z7"/>
    <mergeCell ref="AA2:AA7"/>
    <mergeCell ref="AB2:AB7"/>
    <mergeCell ref="AC2:AC7"/>
    <mergeCell ref="AD2:AD7"/>
    <mergeCell ref="AE2:AE7"/>
    <mergeCell ref="AF2:AF7"/>
    <mergeCell ref="AG2:AG7"/>
    <mergeCell ref="AH2:AH7"/>
    <mergeCell ref="AI2:AI7"/>
    <mergeCell ref="AJ2:AJ7"/>
    <mergeCell ref="AK2:AK7"/>
    <mergeCell ref="AL2:AL7"/>
    <mergeCell ref="AM2:AM7"/>
    <mergeCell ref="AN2:AN7"/>
    <mergeCell ref="AO2:AO7"/>
    <mergeCell ref="AP2:AP7"/>
    <mergeCell ref="AQ2:AQ7"/>
    <mergeCell ref="AR2:AR7"/>
    <mergeCell ref="AS2:AS7"/>
    <mergeCell ref="AT2:AT7"/>
    <mergeCell ref="AU2:AU7"/>
    <mergeCell ref="AV2:AV7"/>
    <mergeCell ref="AW2:AW7"/>
    <mergeCell ref="AX2:AX7"/>
    <mergeCell ref="AY2:AY7"/>
    <mergeCell ref="AZ2:AZ7"/>
    <mergeCell ref="BA2:BA7"/>
    <mergeCell ref="BB2:BB7"/>
    <mergeCell ref="BC2:BC7"/>
    <mergeCell ref="BD2:BD7"/>
    <mergeCell ref="BE2:BE7"/>
    <mergeCell ref="BF2:BF7"/>
    <mergeCell ref="BG2:BG7"/>
    <mergeCell ref="BH2:BH7"/>
    <mergeCell ref="BI2:BI7"/>
    <mergeCell ref="BJ2:BJ7"/>
    <mergeCell ref="BK2:BK7"/>
    <mergeCell ref="BL2:BL7"/>
    <mergeCell ref="BM2:BM7"/>
    <mergeCell ref="BN2:BN7"/>
    <mergeCell ref="BO2:BO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A9:A10"/>
    <mergeCell ref="B9:B10"/>
    <mergeCell ref="C9:D9"/>
    <mergeCell ref="L17:BO17"/>
    <mergeCell ref="AJ21:BO21"/>
    <mergeCell ref="AJ23:BO23"/>
    <mergeCell ref="E28:BO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121</cp:revision>
  <dcterms:created xsi:type="dcterms:W3CDTF">2015-06-05T18:17:20Z</dcterms:created>
  <dcterms:modified xsi:type="dcterms:W3CDTF">2026-10-16T09:28:00Z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2b3a5-926f-4111-8eea-9c5318b8762f_Enabled">
    <vt:lpwstr>true</vt:lpwstr>
  </property>
  <property fmtid="{D5CDD505-2E9C-101B-9397-08002B2CF9AE}" pid="3" name="MSIP_Label_cdd2b3a5-926f-4111-8eea-9c5318b8762f_SetDate">
    <vt:lpwstr>2026-06-08T11:10:06Z</vt:lpwstr>
  </property>
  <property fmtid="{D5CDD505-2E9C-101B-9397-08002B2CF9AE}" pid="4" name="MSIP_Label_cdd2b3a5-926f-4111-8eea-9c5318b8762f_Method">
    <vt:lpwstr>Standard</vt:lpwstr>
  </property>
  <property fmtid="{D5CDD505-2E9C-101B-9397-08002B2CF9AE}" pid="5" name="MSIP_Label_cdd2b3a5-926f-4111-8eea-9c5318b8762f_Name">
    <vt:lpwstr>defa4170-0d19-0005-0004-bc88714345d2</vt:lpwstr>
  </property>
  <property fmtid="{D5CDD505-2E9C-101B-9397-08002B2CF9AE}" pid="6" name="MSIP_Label_cdd2b3a5-926f-4111-8eea-9c5318b8762f_SiteId">
    <vt:lpwstr>61d2e93c-423d-43b4-8f23-1580c2341952</vt:lpwstr>
  </property>
  <property fmtid="{D5CDD505-2E9C-101B-9397-08002B2CF9AE}" pid="7" name="MSIP_Label_cdd2b3a5-926f-4111-8eea-9c5318b8762f_ActionId">
    <vt:lpwstr>491a7fa2-3b01-4209-ac7d-4f5789beb535</vt:lpwstr>
  </property>
  <property fmtid="{D5CDD505-2E9C-101B-9397-08002B2CF9AE}" pid="8" name="MSIP_Label_cdd2b3a5-926f-4111-8eea-9c5318b8762f_ContentBits">
    <vt:lpwstr>0</vt:lpwstr>
  </property>
  <property fmtid="{D5CDD505-2E9C-101B-9397-08002B2CF9AE}" pid="9" name="MSIP_Label_cdd2b3a5-926f-4111-8eea-9c5318b8762f_Tag">
    <vt:lpwstr>10, 3, 0, 1</vt:lpwstr>
  </property>
</Properties>
</file>