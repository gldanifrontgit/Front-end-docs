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97941B8D-81F5-4C7C-91CB-6D235E73043C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<sst xmlns="http://schemas.openxmlformats.org/spreadsheetml/2006/main" count="56" uniqueCount="52">
  <si>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</si>
  <si>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</si>
  <si>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</si>
  <si>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</si>
  <si>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</si>
  <si>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</si>
  <si>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</si>
  <si>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</si>
  <si>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</si>
  <si>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</si>
  <si>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</si>
  <si>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</si>
  <si>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</si>
  <si>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</si>
  <si>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</si>
  <si>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</si>
  <si>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</si>
  <si>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</si>
  <si>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</si>
  <si>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</si>
  <si>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</si>
  <si>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</si>
  <si>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</si>
  <si>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</si>
  <si>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</si>
  <si>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</si>
  <si>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</si>
  <si>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</si>
  <si>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</si>
  <si>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</si>
  <si>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</si>
  <si>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</si>
  <si>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</si>
  <si>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</si>
  <si>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</si>
  <si>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</si>
  <si>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</si>
  <si>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</si>
  <si>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</si>
  <si>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</si>
  <si>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</si>
  <si>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</si>
  <si>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</si>
  <si>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</si>
  <si>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</si>
  <si>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</si>
  <si>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</si>
  <si>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</si>
  <si>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</si>
  <si>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</si>
  <si>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</si>
  <si>
    <t>სტატუსი შეუწყდა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</si>
</sst>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/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4" fontId="3" fillId="6" borderId="8" xfId="0" applyNumberFormat="1" applyFont="1" applyFill="1" applyBorder="1" applyAlignment="1">
      <alignment horizontal="center" vertical="center" textRotation="90"/>
    </xf>
    <xf numFmtId="14" fontId="3" fillId="6" borderId="12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topLeftCell="J1" workbookViewId="0">
      <selection activeCell="AZ22" sqref="AZ22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26" t="s">
        <v>0</v>
      </c>
      <c r="B1" s="27" t="s">
        <v>1</v>
      </c>
      <c r="C1" s="27"/>
      <c r="D1" s="28"/>
      <c r="F1" s="23">
        <v>3</v>
      </c>
      <c r="G1" s="24"/>
      <c r="H1" s="25"/>
      <c r="I1" s="23">
        <v>3</v>
      </c>
      <c r="J1" s="24"/>
      <c r="K1" s="25"/>
      <c r="L1" s="23">
        <v>2</v>
      </c>
      <c r="M1" s="25"/>
      <c r="N1" s="23">
        <v>3</v>
      </c>
      <c r="O1" s="24"/>
      <c r="P1" s="25"/>
      <c r="Q1" s="23">
        <v>3</v>
      </c>
      <c r="R1" s="24"/>
      <c r="S1" s="25"/>
      <c r="T1" s="18">
        <v>1</v>
      </c>
      <c r="U1" s="23">
        <v>3</v>
      </c>
      <c r="V1" s="24"/>
      <c r="W1" s="25"/>
      <c r="X1" s="23">
        <v>3</v>
      </c>
      <c r="Y1" s="24"/>
      <c r="Z1" s="25"/>
      <c r="AA1" s="18">
        <v>1</v>
      </c>
      <c r="AB1" s="18">
        <v>1</v>
      </c>
      <c r="AC1" s="23">
        <v>3</v>
      </c>
      <c r="AD1" s="24"/>
      <c r="AE1" s="25"/>
      <c r="AF1" s="18">
        <v>1</v>
      </c>
      <c r="AG1" s="18">
        <v>1</v>
      </c>
      <c r="AH1" s="18">
        <v>1</v>
      </c>
      <c r="AI1" s="18">
        <v>1</v>
      </c>
      <c r="AJ1" s="23">
        <v>4</v>
      </c>
      <c r="AK1" s="24"/>
      <c r="AL1" s="24"/>
      <c r="AM1" s="25"/>
      <c r="AN1" s="53">
        <v>4</v>
      </c>
      <c r="AO1" s="54"/>
      <c r="AP1" s="54"/>
      <c r="AQ1" s="55"/>
      <c r="AR1" s="23">
        <v>4</v>
      </c>
      <c r="AS1" s="24"/>
      <c r="AT1" s="24"/>
      <c r="AU1" s="25"/>
      <c r="AV1" s="23">
        <v>4</v>
      </c>
      <c r="AW1" s="24"/>
      <c r="AX1" s="24"/>
      <c r="AY1" s="25"/>
      <c r="AZ1" s="23">
        <v>4</v>
      </c>
      <c r="BA1" s="24"/>
      <c r="BB1" s="24"/>
      <c r="BC1" s="25"/>
      <c r="BD1" s="17"/>
      <c r="BE1" s="17"/>
      <c r="BF1" s="17"/>
      <c r="BG1" s="17"/>
      <c r="BH1" s="17"/>
      <c r="BI1" s="17"/>
      <c r="BJ1" s="19"/>
      <c r="BK1" s="19"/>
      <c r="BL1" s="19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50</v>
      </c>
    </row>
    <row r="2" spans="1:79" ht="11.25" customHeight="1" x14ac:dyDescent="0.25">
      <c r="A2" s="26"/>
      <c r="B2" s="29"/>
      <c r="C2" s="29"/>
      <c r="D2" s="30"/>
      <c r="E2" s="33" t="s">
        <v>2</v>
      </c>
      <c r="F2" s="31">
        <v>46209</v>
      </c>
      <c r="G2" s="31">
        <v>46209</v>
      </c>
      <c r="H2" s="31">
        <v>46209</v>
      </c>
      <c r="I2" s="31">
        <v>46210</v>
      </c>
      <c r="J2" s="31">
        <v>46210</v>
      </c>
      <c r="K2" s="31">
        <v>46210</v>
      </c>
      <c r="L2" s="31">
        <v>46213</v>
      </c>
      <c r="M2" s="31">
        <v>46213</v>
      </c>
      <c r="N2" s="31">
        <v>46216</v>
      </c>
      <c r="O2" s="31">
        <v>46216</v>
      </c>
      <c r="P2" s="31">
        <v>46216</v>
      </c>
      <c r="Q2" s="31">
        <v>46217</v>
      </c>
      <c r="R2" s="31">
        <v>46217</v>
      </c>
      <c r="S2" s="31">
        <v>46217</v>
      </c>
      <c r="T2" s="31">
        <v>46220</v>
      </c>
      <c r="U2" s="31">
        <v>46223</v>
      </c>
      <c r="V2" s="31">
        <v>46223</v>
      </c>
      <c r="W2" s="31">
        <v>46223</v>
      </c>
      <c r="X2" s="31">
        <v>46224</v>
      </c>
      <c r="Y2" s="31">
        <v>46224</v>
      </c>
      <c r="Z2" s="31">
        <v>46224</v>
      </c>
      <c r="AA2" s="31">
        <v>46225</v>
      </c>
      <c r="AB2" s="31">
        <v>46227</v>
      </c>
      <c r="AC2" s="31">
        <v>46230</v>
      </c>
      <c r="AD2" s="31">
        <v>46230</v>
      </c>
      <c r="AE2" s="31">
        <v>46230</v>
      </c>
      <c r="AF2" s="31">
        <v>46232</v>
      </c>
      <c r="AG2" s="47">
        <v>46234</v>
      </c>
      <c r="AH2" s="31">
        <v>46274</v>
      </c>
      <c r="AI2" s="31">
        <v>46276</v>
      </c>
      <c r="AJ2" s="31">
        <v>46282</v>
      </c>
      <c r="AK2" s="31">
        <v>46282</v>
      </c>
      <c r="AL2" s="31">
        <v>46282</v>
      </c>
      <c r="AM2" s="31">
        <v>46282</v>
      </c>
      <c r="AN2" s="31">
        <v>46283</v>
      </c>
      <c r="AO2" s="31">
        <v>46283</v>
      </c>
      <c r="AP2" s="31">
        <v>46283</v>
      </c>
      <c r="AQ2" s="31">
        <v>46283</v>
      </c>
      <c r="AR2" s="31">
        <v>46289</v>
      </c>
      <c r="AS2" s="31">
        <v>46289</v>
      </c>
      <c r="AT2" s="31">
        <v>46289</v>
      </c>
      <c r="AU2" s="31">
        <v>46289</v>
      </c>
      <c r="AV2" s="31">
        <v>46290</v>
      </c>
      <c r="AW2" s="31">
        <v>46290</v>
      </c>
      <c r="AX2" s="31">
        <v>46290</v>
      </c>
      <c r="AY2" s="31">
        <v>46290</v>
      </c>
      <c r="AZ2" s="31">
        <v>46296</v>
      </c>
      <c r="BA2" s="31">
        <v>46296</v>
      </c>
      <c r="BB2" s="31">
        <v>46296</v>
      </c>
      <c r="BC2" s="31">
        <v>46296</v>
      </c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</row>
    <row r="3" spans="1:79" ht="23.95" customHeight="1" x14ac:dyDescent="0.25">
      <c r="A3" s="36" t="s">
        <v>49</v>
      </c>
      <c r="B3" s="36"/>
      <c r="C3" s="36"/>
      <c r="D3" s="36"/>
      <c r="E3" s="34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47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</row>
    <row r="4" spans="1:79" ht="24.8" customHeight="1" x14ac:dyDescent="0.25">
      <c r="A4" s="36" t="s">
        <v>3</v>
      </c>
      <c r="B4" s="36"/>
      <c r="C4" s="37" t="s">
        <v>4</v>
      </c>
      <c r="D4" s="38"/>
      <c r="E4" s="34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47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</row>
    <row r="5" spans="1:79" ht="16.5" customHeight="1" x14ac:dyDescent="0.3">
      <c r="A5" s="39" t="s">
        <v>5</v>
      </c>
      <c r="B5" s="39"/>
      <c r="C5" s="40">
        <v>60</v>
      </c>
      <c r="D5" s="41"/>
      <c r="E5" s="34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47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</row>
    <row r="6" spans="1:79" ht="16.5" customHeight="1" x14ac:dyDescent="0.3">
      <c r="A6" s="39" t="s">
        <v>6</v>
      </c>
      <c r="B6" s="39"/>
      <c r="C6" s="40">
        <v>2</v>
      </c>
      <c r="D6" s="41"/>
      <c r="E6" s="34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47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</row>
    <row r="7" spans="1:79" ht="16.5" customHeight="1" x14ac:dyDescent="0.3">
      <c r="A7" s="42" t="s">
        <v>7</v>
      </c>
      <c r="B7" s="42"/>
      <c r="C7" s="40">
        <v>13</v>
      </c>
      <c r="D7" s="41"/>
      <c r="E7" s="35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48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</row>
    <row r="8" spans="1:79" ht="23.95" customHeight="1" x14ac:dyDescent="0.3">
      <c r="A8" s="43" t="s">
        <v>8</v>
      </c>
      <c r="B8" s="43"/>
      <c r="C8" s="44">
        <f>SUM(C5:D7)</f>
        <v>75</v>
      </c>
      <c r="D8" s="38"/>
      <c r="E8" s="3"/>
      <c r="F8" s="45">
        <v>7</v>
      </c>
      <c r="G8" s="45">
        <v>8</v>
      </c>
      <c r="H8" s="45">
        <v>9</v>
      </c>
      <c r="I8" s="45">
        <v>10</v>
      </c>
      <c r="J8" s="45">
        <v>11</v>
      </c>
      <c r="K8" s="45">
        <v>12</v>
      </c>
      <c r="L8" s="45">
        <v>13</v>
      </c>
      <c r="M8" s="45">
        <v>14</v>
      </c>
      <c r="N8" s="45">
        <v>15</v>
      </c>
      <c r="O8" s="45">
        <v>16</v>
      </c>
      <c r="P8" s="45">
        <v>17</v>
      </c>
      <c r="Q8" s="45">
        <v>18</v>
      </c>
      <c r="R8" s="45">
        <v>19</v>
      </c>
      <c r="S8" s="45">
        <v>20</v>
      </c>
      <c r="T8" s="45">
        <v>21</v>
      </c>
      <c r="U8" s="45">
        <v>22</v>
      </c>
      <c r="V8" s="45">
        <v>23</v>
      </c>
      <c r="W8" s="45">
        <v>24</v>
      </c>
      <c r="X8" s="45">
        <v>25</v>
      </c>
      <c r="Y8" s="45">
        <v>26</v>
      </c>
      <c r="Z8" s="45">
        <v>27</v>
      </c>
      <c r="AA8" s="45">
        <v>28</v>
      </c>
      <c r="AB8" s="45">
        <v>29</v>
      </c>
      <c r="AC8" s="45">
        <v>30</v>
      </c>
      <c r="AD8" s="45">
        <v>31</v>
      </c>
      <c r="AE8" s="45">
        <v>32</v>
      </c>
      <c r="AF8" s="45">
        <v>33</v>
      </c>
      <c r="AG8" s="45">
        <v>34</v>
      </c>
      <c r="AH8" s="45">
        <v>35</v>
      </c>
      <c r="AI8" s="45">
        <v>36</v>
      </c>
      <c r="AJ8" s="45">
        <v>37</v>
      </c>
      <c r="AK8" s="45">
        <v>38</v>
      </c>
      <c r="AL8" s="45">
        <v>39</v>
      </c>
      <c r="AM8" s="45">
        <v>40</v>
      </c>
      <c r="AN8" s="45">
        <v>41</v>
      </c>
      <c r="AO8" s="45">
        <v>42</v>
      </c>
      <c r="AP8" s="45">
        <v>43</v>
      </c>
      <c r="AQ8" s="45">
        <v>44</v>
      </c>
      <c r="AR8" s="45">
        <v>45</v>
      </c>
      <c r="AS8" s="45">
        <v>46</v>
      </c>
      <c r="AT8" s="45">
        <v>47</v>
      </c>
      <c r="AU8" s="45">
        <v>48</v>
      </c>
      <c r="AV8" s="45">
        <v>49</v>
      </c>
      <c r="AW8" s="45">
        <v>50</v>
      </c>
      <c r="AX8" s="45">
        <v>51</v>
      </c>
      <c r="AY8" s="45">
        <v>52</v>
      </c>
      <c r="AZ8" s="45">
        <v>53</v>
      </c>
      <c r="BA8" s="45">
        <v>54</v>
      </c>
      <c r="BB8" s="45">
        <v>55</v>
      </c>
      <c r="BC8" s="45">
        <v>56</v>
      </c>
      <c r="BD8" s="45">
        <v>57</v>
      </c>
      <c r="BE8" s="45">
        <v>58</v>
      </c>
      <c r="BF8" s="45">
        <v>59</v>
      </c>
      <c r="BG8" s="45">
        <v>60</v>
      </c>
      <c r="BH8" s="45">
        <v>61</v>
      </c>
      <c r="BI8" s="45">
        <v>62</v>
      </c>
      <c r="BJ8" s="45">
        <v>63</v>
      </c>
      <c r="BK8" s="45">
        <v>64</v>
      </c>
      <c r="BL8" s="45">
        <v>65</v>
      </c>
      <c r="BM8" s="45">
        <v>66</v>
      </c>
      <c r="BN8" s="45">
        <v>67</v>
      </c>
      <c r="BO8" s="45">
        <v>68</v>
      </c>
      <c r="BP8" s="45">
        <v>69</v>
      </c>
      <c r="BQ8" s="45">
        <v>70</v>
      </c>
      <c r="BR8" s="45">
        <v>71</v>
      </c>
      <c r="BS8" s="45">
        <v>72</v>
      </c>
      <c r="BT8" s="45">
        <v>73</v>
      </c>
      <c r="BU8" s="45">
        <v>74</v>
      </c>
      <c r="BV8" s="45">
        <v>75</v>
      </c>
    </row>
    <row r="9" spans="1:79" ht="16.5" customHeight="1" x14ac:dyDescent="0.25">
      <c r="A9" s="49" t="s">
        <v>9</v>
      </c>
      <c r="B9" s="50" t="s">
        <v>10</v>
      </c>
      <c r="C9" s="51" t="s">
        <v>11</v>
      </c>
      <c r="D9" s="50"/>
      <c r="E9" s="5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</row>
    <row r="10" spans="1:79" ht="16.5" customHeight="1" x14ac:dyDescent="0.25">
      <c r="A10" s="49"/>
      <c r="B10" s="50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8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>
        <v>0</v>
      </c>
      <c r="AG11" s="8">
        <v>0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>
        <v>0</v>
      </c>
      <c r="AS11" s="8"/>
      <c r="AT11" s="8"/>
      <c r="AU11" s="8"/>
      <c r="AV11" s="8"/>
      <c r="AW11" s="8"/>
      <c r="AX11" s="8"/>
      <c r="AY11" s="8"/>
      <c r="AZ11" s="8">
        <v>0</v>
      </c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1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>
        <v>0</v>
      </c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17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>
        <v>0</v>
      </c>
      <c r="AS13" s="8"/>
      <c r="AT13" s="8"/>
      <c r="AU13" s="8"/>
      <c r="AV13" s="8"/>
      <c r="AW13" s="8"/>
      <c r="AX13" s="8"/>
      <c r="AY13" s="8"/>
      <c r="AZ13" s="8">
        <v>0</v>
      </c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12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/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>
        <v>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14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11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/>
      <c r="AI16" s="8">
        <v>0</v>
      </c>
      <c r="AJ16" s="8"/>
      <c r="AK16" s="8"/>
      <c r="AL16" s="8"/>
      <c r="AM16" s="8"/>
      <c r="AN16" s="8">
        <v>0</v>
      </c>
      <c r="AO16" s="8"/>
      <c r="AP16" s="8"/>
      <c r="AQ16" s="8"/>
      <c r="AR16" s="8">
        <v>0</v>
      </c>
      <c r="AS16" s="8"/>
      <c r="AT16" s="8"/>
      <c r="AU16" s="8"/>
      <c r="AV16" s="8"/>
      <c r="AW16" s="8"/>
      <c r="AX16" s="8"/>
      <c r="AY16" s="8"/>
      <c r="AZ16" s="8">
        <v>0</v>
      </c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20" t="s">
        <v>50</v>
      </c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2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10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9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29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/>
      <c r="AI21" s="8">
        <v>0</v>
      </c>
      <c r="AJ21" s="20" t="s">
        <v>51</v>
      </c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2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13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>
        <v>0</v>
      </c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29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/>
      <c r="AI23" s="8">
        <v>0</v>
      </c>
      <c r="AJ23" s="20" t="s">
        <v>51</v>
      </c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2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11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/>
      <c r="AI24" s="8">
        <v>0</v>
      </c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17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/>
      <c r="AJ25" s="8"/>
      <c r="AK25" s="8"/>
      <c r="AL25" s="8"/>
      <c r="AM25" s="8"/>
      <c r="AN25" s="8">
        <v>0</v>
      </c>
      <c r="AO25" s="8"/>
      <c r="AP25" s="8"/>
      <c r="AQ25" s="8"/>
      <c r="AR25" s="8">
        <v>0</v>
      </c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17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>
        <v>0</v>
      </c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31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>
        <v>0</v>
      </c>
      <c r="AI27" s="8">
        <v>0</v>
      </c>
      <c r="AJ27" s="8"/>
      <c r="AK27" s="8"/>
      <c r="AL27" s="8"/>
      <c r="AM27" s="8"/>
      <c r="AN27" s="8"/>
      <c r="AO27" s="8"/>
      <c r="AP27" s="8"/>
      <c r="AQ27" s="8"/>
      <c r="AR27" s="8">
        <v>0</v>
      </c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52" t="s">
        <v>48</v>
      </c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  <c r="BL28" s="52"/>
      <c r="BM28" s="52"/>
      <c r="BN28" s="52"/>
      <c r="BO28" s="52"/>
      <c r="BP28" s="52"/>
      <c r="BQ28" s="52"/>
      <c r="BR28" s="52"/>
      <c r="BS28" s="52"/>
      <c r="BT28" s="52"/>
      <c r="BU28" s="52"/>
      <c r="BV28" s="52"/>
    </row>
  </sheetData>
  <mergeCells count="172">
    <mergeCell ref="AZ1:BC1"/>
    <mergeCell ref="AR1:AU1"/>
    <mergeCell ref="AN1:AQ1"/>
    <mergeCell ref="AC1:AE1"/>
    <mergeCell ref="U1:W1"/>
    <mergeCell ref="BR8:BR9"/>
    <mergeCell ref="BS8:BS9"/>
    <mergeCell ref="BT8:BT9"/>
    <mergeCell ref="BU8:BU9"/>
    <mergeCell ref="BV8:BV9"/>
    <mergeCell ref="AF8:AF9"/>
    <mergeCell ref="AG8:AG9"/>
    <mergeCell ref="BU2:BU7"/>
    <mergeCell ref="BV2:BV7"/>
    <mergeCell ref="BM2:BM7"/>
    <mergeCell ref="BN2:BN7"/>
    <mergeCell ref="Z2:Z7"/>
    <mergeCell ref="V2:V7"/>
    <mergeCell ref="W2:W7"/>
    <mergeCell ref="AB2:AB7"/>
    <mergeCell ref="AC2:AC7"/>
    <mergeCell ref="AD2:AD7"/>
    <mergeCell ref="AJ1:AM1"/>
    <mergeCell ref="X1:Z1"/>
    <mergeCell ref="U2:U7"/>
    <mergeCell ref="E28:BV28"/>
    <mergeCell ref="BO8:BO9"/>
    <mergeCell ref="BP8:BP9"/>
    <mergeCell ref="BQ8:BQ9"/>
    <mergeCell ref="L17:BV17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Y8:Y9"/>
    <mergeCell ref="Z8:Z9"/>
    <mergeCell ref="AA8:AA9"/>
    <mergeCell ref="AB8:AB9"/>
    <mergeCell ref="AC8:AC9"/>
    <mergeCell ref="AD8:AD9"/>
    <mergeCell ref="AE8:AE9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AM2:AM7"/>
    <mergeCell ref="AA2:AA7"/>
    <mergeCell ref="X2:X7"/>
    <mergeCell ref="Y2:Y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AJ21:BD21"/>
    <mergeCell ref="AJ23:BD23"/>
    <mergeCell ref="AV1:AY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H2:H7"/>
    <mergeCell ref="I2:I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2026-10-01T15:10:39Z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