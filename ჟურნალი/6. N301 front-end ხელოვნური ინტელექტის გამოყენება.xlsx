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signer\Desktop\Front\01. - Front-end-docs\ჟურნალი\"/>
    </mc:Choice>
  </mc:AlternateContent>
  <xr:revisionPtr revIDLastSave="0" documentId="13_ncr:1_{6F5A4EEC-04AA-4901-BC81-21FEA4EDB72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301 ინტეგრირებული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W1" i="1" l="1"/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<sst xmlns="http://schemas.openxmlformats.org/spreadsheetml/2006/main" count="54" uniqueCount="51">
  <si>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</si>
  <si>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</si>
  <si>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</si>
  <si>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</si>
  <si>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</si>
  <si>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</si>
  <si>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</si>
  <si>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</si>
  <si>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</si>
  <si>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</si>
  <si>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</si>
  <si>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</si>
  <si>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</si>
  <si>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</si>
  <si>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  <family val="1"/>
      </rPr>
      <t>არმინე</t>
    </r>
  </si>
  <si>
    <r>
      <rPr>
        <sz val="11"/>
        <color indexed="63"/>
        <rFont val="Sylfaen"/>
        <family val="1"/>
      </rPr>
      <t>იორდანიან</t>
    </r>
  </si>
  <si>
    <r>
      <rPr>
        <sz val="11"/>
        <color indexed="63"/>
        <rFont val="Sylfaen"/>
        <family val="1"/>
      </rPr>
      <t>ალექსეი</t>
    </r>
  </si>
  <si>
    <r>
      <rPr>
        <sz val="11"/>
        <color indexed="63"/>
        <rFont val="Sylfaen"/>
        <family val="1"/>
      </rPr>
      <t>მოზაიძე</t>
    </r>
  </si>
  <si>
    <r>
      <rPr>
        <sz val="11"/>
        <color indexed="63"/>
        <rFont val="Sylfaen"/>
        <family val="1"/>
      </rPr>
      <t>ზურიკო</t>
    </r>
  </si>
  <si>
    <r>
      <rPr>
        <sz val="11"/>
        <color indexed="63"/>
        <rFont val="Sylfaen"/>
        <family val="1"/>
      </rPr>
      <t>კორსანტია</t>
    </r>
  </si>
  <si>
    <t>დადასტურება</t>
  </si>
  <si>
    <r>
      <rPr>
        <sz val="11"/>
        <color indexed="63"/>
        <rFont val="Sylfaen"/>
        <family val="1"/>
      </rPr>
      <t>ლუკა</t>
    </r>
  </si>
  <si>
    <t>მათითაიშვილი</t>
  </si>
  <si>
    <r>
      <rPr>
        <sz val="11"/>
        <color indexed="63"/>
        <rFont val="Sylfaen"/>
        <family val="1"/>
      </rPr>
      <t>საბა</t>
    </r>
  </si>
  <si>
    <r>
      <rPr>
        <sz val="11"/>
        <color indexed="63"/>
        <rFont val="Sylfaen"/>
        <family val="1"/>
      </rPr>
      <t>ლაჩაშვილი</t>
    </r>
  </si>
  <si>
    <r>
      <rPr>
        <sz val="11"/>
        <color indexed="63"/>
        <rFont val="Sylfaen"/>
        <family val="1"/>
      </rPr>
      <t>ალბინა</t>
    </r>
  </si>
  <si>
    <r>
      <rPr>
        <sz val="11"/>
        <color indexed="63"/>
        <rFont val="Sylfaen"/>
        <family val="1"/>
      </rPr>
      <t>ძახოევი</t>
    </r>
  </si>
  <si>
    <r>
      <rPr>
        <sz val="11"/>
        <color indexed="63"/>
        <rFont val="Sylfaen"/>
        <family val="1"/>
      </rPr>
      <t>მირიან</t>
    </r>
  </si>
  <si>
    <r>
      <rPr>
        <sz val="11"/>
        <color indexed="63"/>
        <rFont val="Sylfaen"/>
        <family val="1"/>
      </rPr>
      <t>ქათამაძე</t>
    </r>
  </si>
  <si>
    <r>
      <rPr>
        <sz val="11"/>
        <color indexed="63"/>
        <rFont val="Sylfaen"/>
        <family val="1"/>
      </rPr>
      <t>ოდიშვილი</t>
    </r>
  </si>
  <si>
    <r>
      <rPr>
        <sz val="11"/>
        <color indexed="63"/>
        <rFont val="Sylfaen"/>
        <family val="1"/>
      </rPr>
      <t>ბანძელაძე</t>
    </r>
  </si>
  <si>
    <r>
      <rPr>
        <sz val="11"/>
        <color indexed="63"/>
        <rFont val="Sylfaen"/>
        <family val="1"/>
      </rPr>
      <t>მირცხულავა</t>
    </r>
  </si>
  <si>
    <r>
      <rPr>
        <sz val="11"/>
        <color indexed="63"/>
        <rFont val="Sylfaen"/>
        <family val="1"/>
      </rPr>
      <t>ლევან</t>
    </r>
  </si>
  <si>
    <r>
      <rPr>
        <sz val="11"/>
        <color indexed="63"/>
        <rFont val="Sylfaen"/>
        <family val="1"/>
      </rPr>
      <t>გობეჯიშვილი</t>
    </r>
  </si>
  <si>
    <t>ალექსანდრე</t>
  </si>
  <si>
    <r>
      <rPr>
        <sz val="11"/>
        <color indexed="63"/>
        <rFont val="Sylfaen"/>
        <family val="1"/>
      </rPr>
      <t>ბერიაშვილი</t>
    </r>
  </si>
  <si>
    <r>
      <rPr>
        <sz val="11"/>
        <color indexed="63"/>
        <rFont val="Sylfaen"/>
        <family val="1"/>
      </rPr>
      <t>მარტიროს</t>
    </r>
  </si>
  <si>
    <r>
      <rPr>
        <sz val="11"/>
        <color indexed="63"/>
        <rFont val="Sylfaen"/>
        <family val="1"/>
      </rPr>
      <t>არუთუნიან</t>
    </r>
  </si>
  <si>
    <r>
      <rPr>
        <sz val="11"/>
        <color indexed="63"/>
        <rFont val="Sylfaen"/>
        <family val="1"/>
      </rPr>
      <t>ირინა</t>
    </r>
  </si>
  <si>
    <r>
      <rPr>
        <sz val="11"/>
        <color indexed="63"/>
        <rFont val="Sylfaen"/>
        <family val="1"/>
      </rPr>
      <t>მატაშოვა</t>
    </r>
  </si>
  <si>
    <r>
      <rPr>
        <sz val="11"/>
        <color indexed="63"/>
        <rFont val="Sylfaen"/>
        <family val="1"/>
      </rPr>
      <t>ნიკოლოზ</t>
    </r>
  </si>
  <si>
    <r>
      <rPr>
        <sz val="11"/>
        <color indexed="63"/>
        <rFont val="Sylfaen"/>
        <family val="1"/>
      </rPr>
      <t>ქისიშვილი</t>
    </r>
  </si>
  <si>
    <r>
      <rPr>
        <sz val="11"/>
        <color indexed="63"/>
        <rFont val="Sylfaen"/>
        <family val="1"/>
      </rPr>
      <t>დავითი</t>
    </r>
  </si>
  <si>
    <r>
      <rPr>
        <sz val="11"/>
        <color indexed="63"/>
        <rFont val="Sylfaen"/>
        <family val="1"/>
      </rPr>
      <t>ვეშაგური</t>
    </r>
  </si>
  <si>
    <r>
      <rPr>
        <sz val="11"/>
        <color indexed="63"/>
        <rFont val="Sylfaen"/>
        <family val="1"/>
      </rPr>
      <t>გიორგი</t>
    </r>
  </si>
  <si>
    <r>
      <rPr>
        <sz val="11"/>
        <color indexed="63"/>
        <rFont val="Sylfaen"/>
        <family val="1"/>
      </rPr>
      <t>ბენდიანიშვილი</t>
    </r>
  </si>
  <si>
    <r>
      <rPr>
        <sz val="11"/>
        <color indexed="63"/>
        <rFont val="Sylfaen"/>
        <family val="1"/>
      </rPr>
      <t>ვაჟა</t>
    </r>
  </si>
  <si>
    <r>
      <rPr>
        <sz val="11"/>
        <color indexed="63"/>
        <rFont val="Sylfaen"/>
        <family val="1"/>
      </rPr>
      <t>ხარაზიშვილი</t>
    </r>
  </si>
  <si>
    <t>სტატუსი შეუწყდა 2025 წლის 17 ოქტომბირდან</t>
  </si>
  <si>
    <t>მოდული: ხელოვნური ინტელექტის გამოყენება; N 06.1.1.10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</si>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</sst>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  <family val="1"/>
    </font>
    <font>
      <sz val="10"/>
      <color theme="1"/>
      <name val="Calibri"/>
      <family val="2"/>
      <scheme val="minor"/>
    </font>
    <font>
      <sz val="10"/>
      <color theme="1"/>
      <name val="Sylfaen"/>
      <family val="1"/>
    </font>
    <font>
      <b/>
      <sz val="9"/>
      <color indexed="2"/>
      <name val="Sylfaen"/>
      <family val="1"/>
    </font>
    <font>
      <b/>
      <sz val="9"/>
      <color theme="1"/>
      <name val="Sylfaen"/>
      <family val="1"/>
    </font>
    <font>
      <b/>
      <sz val="9"/>
      <color theme="1"/>
      <name val="Calibri"/>
      <family val="2"/>
      <scheme val="minor"/>
    </font>
    <font>
      <sz val="11"/>
      <name val="Sylfaen"/>
      <family val="1"/>
    </font>
    <font>
      <b/>
      <sz val="11"/>
      <color indexed="2"/>
      <name val="Sylfaen"/>
      <family val="1"/>
    </font>
    <font>
      <sz val="11"/>
      <color indexed="63"/>
      <name val="Sylfaen"/>
      <family val="1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indexed="5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textRotation="90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7" xfId="1" applyFont="1" applyFill="1" applyBorder="1"/>
    <xf numFmtId="0" fontId="1" fillId="0" borderId="11" xfId="0" applyFont="1" applyBorder="1" applyAlignment="1">
      <alignment horizontal="center" vertical="top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3" borderId="1" xfId="0" applyFill="1" applyBorder="1"/>
    <xf numFmtId="0" fontId="0" fillId="2" borderId="11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left" vertical="center" wrapText="1"/>
    </xf>
    <xf numFmtId="14" fontId="3" fillId="2" borderId="8" xfId="0" applyNumberFormat="1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8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 wrapText="1"/>
    </xf>
    <xf numFmtId="0" fontId="1" fillId="2" borderId="11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4" fontId="3" fillId="6" borderId="8" xfId="0" applyNumberFormat="1" applyFont="1" applyFill="1" applyBorder="1" applyAlignment="1">
      <alignment horizontal="center" vertical="center" textRotation="90"/>
    </xf>
    <xf numFmtId="14" fontId="3" fillId="6" borderId="12" xfId="0" applyNumberFormat="1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1" fillId="2" borderId="4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28"/>
  <sheetViews>
    <sheetView tabSelected="1" topLeftCell="F1" workbookViewId="0">
      <selection activeCell="AS26" sqref="AS26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5.5703125" style="1" customWidth="1"/>
    <col min="6" max="16384" width="3.5703125" style="1"/>
  </cols>
  <sheetData>
    <row r="1" spans="1:79" ht="16.5" customHeight="1" x14ac:dyDescent="0.25">
      <c r="A1" s="23" t="s">
        <v>0</v>
      </c>
      <c r="B1" s="24" t="s">
        <v>1</v>
      </c>
      <c r="C1" s="24"/>
      <c r="D1" s="25"/>
      <c r="F1" s="20">
        <v>3</v>
      </c>
      <c r="G1" s="21"/>
      <c r="H1" s="22"/>
      <c r="I1" s="20">
        <v>3</v>
      </c>
      <c r="J1" s="21"/>
      <c r="K1" s="22"/>
      <c r="L1" s="20">
        <v>2</v>
      </c>
      <c r="M1" s="22"/>
      <c r="N1" s="20">
        <v>3</v>
      </c>
      <c r="O1" s="21"/>
      <c r="P1" s="22"/>
      <c r="Q1" s="20">
        <v>3</v>
      </c>
      <c r="R1" s="21"/>
      <c r="S1" s="22"/>
      <c r="T1" s="18">
        <v>1</v>
      </c>
      <c r="U1" s="20">
        <v>3</v>
      </c>
      <c r="V1" s="21"/>
      <c r="W1" s="22"/>
      <c r="X1" s="20">
        <v>3</v>
      </c>
      <c r="Y1" s="21"/>
      <c r="Z1" s="22"/>
      <c r="AA1" s="18">
        <v>1</v>
      </c>
      <c r="AB1" s="18">
        <v>1</v>
      </c>
      <c r="AC1" s="20">
        <v>3</v>
      </c>
      <c r="AD1" s="21"/>
      <c r="AE1" s="22"/>
      <c r="AF1" s="18">
        <v>1</v>
      </c>
      <c r="AG1" s="18">
        <v>1</v>
      </c>
      <c r="AH1" s="18">
        <v>1</v>
      </c>
      <c r="AI1" s="18">
        <v>1</v>
      </c>
      <c r="AJ1" s="20">
        <v>4</v>
      </c>
      <c r="AK1" s="21"/>
      <c r="AL1" s="21"/>
      <c r="AM1" s="22"/>
      <c r="AN1" s="49">
        <v>4</v>
      </c>
      <c r="AO1" s="50"/>
      <c r="AP1" s="50"/>
      <c r="AQ1" s="51"/>
      <c r="AR1" s="20">
        <v>4</v>
      </c>
      <c r="AS1" s="21"/>
      <c r="AT1" s="21"/>
      <c r="AU1" s="22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9"/>
      <c r="BK1" s="19"/>
      <c r="BL1" s="19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">
        <f>SUM(E1:BV1)</f>
        <v>42</v>
      </c>
    </row>
    <row r="2" spans="1:79" ht="11.25" customHeight="1" x14ac:dyDescent="0.25">
      <c r="A2" s="23"/>
      <c r="B2" s="26"/>
      <c r="C2" s="26"/>
      <c r="D2" s="27"/>
      <c r="E2" s="30" t="s">
        <v>2</v>
      </c>
      <c r="F2" s="28">
        <v>46209</v>
      </c>
      <c r="G2" s="28">
        <v>46209</v>
      </c>
      <c r="H2" s="28">
        <v>46209</v>
      </c>
      <c r="I2" s="28">
        <v>46210</v>
      </c>
      <c r="J2" s="28">
        <v>46210</v>
      </c>
      <c r="K2" s="28">
        <v>46210</v>
      </c>
      <c r="L2" s="28">
        <v>46213</v>
      </c>
      <c r="M2" s="28">
        <v>46213</v>
      </c>
      <c r="N2" s="28">
        <v>46216</v>
      </c>
      <c r="O2" s="28">
        <v>46216</v>
      </c>
      <c r="P2" s="28">
        <v>46216</v>
      </c>
      <c r="Q2" s="28">
        <v>46217</v>
      </c>
      <c r="R2" s="28">
        <v>46217</v>
      </c>
      <c r="S2" s="28">
        <v>46217</v>
      </c>
      <c r="T2" s="28">
        <v>46220</v>
      </c>
      <c r="U2" s="28">
        <v>46223</v>
      </c>
      <c r="V2" s="28">
        <v>46223</v>
      </c>
      <c r="W2" s="28">
        <v>46223</v>
      </c>
      <c r="X2" s="28">
        <v>46224</v>
      </c>
      <c r="Y2" s="28">
        <v>46224</v>
      </c>
      <c r="Z2" s="28">
        <v>46224</v>
      </c>
      <c r="AA2" s="28">
        <v>46225</v>
      </c>
      <c r="AB2" s="28">
        <v>46227</v>
      </c>
      <c r="AC2" s="28">
        <v>46230</v>
      </c>
      <c r="AD2" s="28">
        <v>46230</v>
      </c>
      <c r="AE2" s="28">
        <v>46230</v>
      </c>
      <c r="AF2" s="28">
        <v>46232</v>
      </c>
      <c r="AG2" s="44">
        <v>46234</v>
      </c>
      <c r="AH2" s="28">
        <v>46274</v>
      </c>
      <c r="AI2" s="28">
        <v>46276</v>
      </c>
      <c r="AJ2" s="28">
        <v>46282</v>
      </c>
      <c r="AK2" s="28">
        <v>46282</v>
      </c>
      <c r="AL2" s="28">
        <v>46282</v>
      </c>
      <c r="AM2" s="28">
        <v>46282</v>
      </c>
      <c r="AN2" s="28">
        <v>46283</v>
      </c>
      <c r="AO2" s="28">
        <v>46283</v>
      </c>
      <c r="AP2" s="28">
        <v>46283</v>
      </c>
      <c r="AQ2" s="28">
        <v>46283</v>
      </c>
      <c r="AR2" s="28">
        <v>46289</v>
      </c>
      <c r="AS2" s="28">
        <v>46289</v>
      </c>
      <c r="AT2" s="28">
        <v>46289</v>
      </c>
      <c r="AU2" s="28">
        <v>46289</v>
      </c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</row>
    <row r="3" spans="1:79" ht="24" customHeight="1" x14ac:dyDescent="0.25">
      <c r="A3" s="33" t="s">
        <v>49</v>
      </c>
      <c r="B3" s="33"/>
      <c r="C3" s="33"/>
      <c r="D3" s="33"/>
      <c r="E3" s="31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4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</row>
    <row r="4" spans="1:79" ht="24.75" customHeight="1" x14ac:dyDescent="0.25">
      <c r="A4" s="33" t="s">
        <v>3</v>
      </c>
      <c r="B4" s="33"/>
      <c r="C4" s="34" t="s">
        <v>4</v>
      </c>
      <c r="D4" s="35"/>
      <c r="E4" s="31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44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</row>
    <row r="5" spans="1:79" ht="16.5" customHeight="1" x14ac:dyDescent="0.25">
      <c r="A5" s="36" t="s">
        <v>5</v>
      </c>
      <c r="B5" s="36"/>
      <c r="C5" s="37">
        <v>60</v>
      </c>
      <c r="D5" s="38"/>
      <c r="E5" s="31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44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</row>
    <row r="6" spans="1:79" ht="16.5" customHeight="1" x14ac:dyDescent="0.25">
      <c r="A6" s="36" t="s">
        <v>6</v>
      </c>
      <c r="B6" s="36"/>
      <c r="C6" s="37">
        <v>2</v>
      </c>
      <c r="D6" s="38"/>
      <c r="E6" s="31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44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</row>
    <row r="7" spans="1:79" ht="16.5" customHeight="1" x14ac:dyDescent="0.25">
      <c r="A7" s="39" t="s">
        <v>7</v>
      </c>
      <c r="B7" s="39"/>
      <c r="C7" s="37">
        <v>13</v>
      </c>
      <c r="D7" s="38"/>
      <c r="E7" s="32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45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</row>
    <row r="8" spans="1:79" ht="24" customHeight="1" x14ac:dyDescent="0.25">
      <c r="A8" s="40" t="s">
        <v>8</v>
      </c>
      <c r="B8" s="40"/>
      <c r="C8" s="41">
        <f>SUM(C5:D7)</f>
        <v>75</v>
      </c>
      <c r="D8" s="35"/>
      <c r="E8" s="3"/>
      <c r="F8" s="42">
        <v>7</v>
      </c>
      <c r="G8" s="42">
        <v>8</v>
      </c>
      <c r="H8" s="42">
        <v>9</v>
      </c>
      <c r="I8" s="42">
        <v>10</v>
      </c>
      <c r="J8" s="42">
        <v>11</v>
      </c>
      <c r="K8" s="42">
        <v>12</v>
      </c>
      <c r="L8" s="42">
        <v>13</v>
      </c>
      <c r="M8" s="42">
        <v>14</v>
      </c>
      <c r="N8" s="42">
        <v>15</v>
      </c>
      <c r="O8" s="42">
        <v>16</v>
      </c>
      <c r="P8" s="42">
        <v>17</v>
      </c>
      <c r="Q8" s="42">
        <v>18</v>
      </c>
      <c r="R8" s="42">
        <v>19</v>
      </c>
      <c r="S8" s="42">
        <v>20</v>
      </c>
      <c r="T8" s="42">
        <v>21</v>
      </c>
      <c r="U8" s="42">
        <v>22</v>
      </c>
      <c r="V8" s="42">
        <v>23</v>
      </c>
      <c r="W8" s="42">
        <v>24</v>
      </c>
      <c r="X8" s="42">
        <v>25</v>
      </c>
      <c r="Y8" s="42">
        <v>26</v>
      </c>
      <c r="Z8" s="42">
        <v>27</v>
      </c>
      <c r="AA8" s="42">
        <v>28</v>
      </c>
      <c r="AB8" s="42">
        <v>29</v>
      </c>
      <c r="AC8" s="42">
        <v>30</v>
      </c>
      <c r="AD8" s="42">
        <v>31</v>
      </c>
      <c r="AE8" s="42">
        <v>32</v>
      </c>
      <c r="AF8" s="42">
        <v>33</v>
      </c>
      <c r="AG8" s="42">
        <v>34</v>
      </c>
      <c r="AH8" s="42">
        <v>35</v>
      </c>
      <c r="AI8" s="42">
        <v>36</v>
      </c>
      <c r="AJ8" s="42">
        <v>37</v>
      </c>
      <c r="AK8" s="42">
        <v>38</v>
      </c>
      <c r="AL8" s="42">
        <v>39</v>
      </c>
      <c r="AM8" s="42">
        <v>40</v>
      </c>
      <c r="AN8" s="42">
        <v>41</v>
      </c>
      <c r="AO8" s="42">
        <v>42</v>
      </c>
      <c r="AP8" s="42">
        <v>43</v>
      </c>
      <c r="AQ8" s="42">
        <v>44</v>
      </c>
      <c r="AR8" s="42">
        <v>45</v>
      </c>
      <c r="AS8" s="42">
        <v>46</v>
      </c>
      <c r="AT8" s="42">
        <v>47</v>
      </c>
      <c r="AU8" s="42">
        <v>48</v>
      </c>
      <c r="AV8" s="42">
        <v>49</v>
      </c>
      <c r="AW8" s="42">
        <v>50</v>
      </c>
      <c r="AX8" s="42">
        <v>51</v>
      </c>
      <c r="AY8" s="42">
        <v>52</v>
      </c>
      <c r="AZ8" s="42">
        <v>53</v>
      </c>
      <c r="BA8" s="42">
        <v>54</v>
      </c>
      <c r="BB8" s="42">
        <v>55</v>
      </c>
      <c r="BC8" s="42">
        <v>56</v>
      </c>
      <c r="BD8" s="42">
        <v>57</v>
      </c>
      <c r="BE8" s="42">
        <v>58</v>
      </c>
      <c r="BF8" s="42">
        <v>59</v>
      </c>
      <c r="BG8" s="42">
        <v>60</v>
      </c>
      <c r="BH8" s="42">
        <v>61</v>
      </c>
      <c r="BI8" s="42">
        <v>62</v>
      </c>
      <c r="BJ8" s="42">
        <v>63</v>
      </c>
      <c r="BK8" s="42">
        <v>64</v>
      </c>
      <c r="BL8" s="42">
        <v>65</v>
      </c>
      <c r="BM8" s="42">
        <v>66</v>
      </c>
      <c r="BN8" s="42">
        <v>67</v>
      </c>
      <c r="BO8" s="42">
        <v>68</v>
      </c>
      <c r="BP8" s="42">
        <v>69</v>
      </c>
      <c r="BQ8" s="42">
        <v>70</v>
      </c>
      <c r="BR8" s="42">
        <v>71</v>
      </c>
      <c r="BS8" s="42">
        <v>72</v>
      </c>
      <c r="BT8" s="42">
        <v>73</v>
      </c>
      <c r="BU8" s="42">
        <v>74</v>
      </c>
      <c r="BV8" s="42">
        <v>75</v>
      </c>
    </row>
    <row r="9" spans="1:79" ht="16.5" customHeight="1" x14ac:dyDescent="0.25">
      <c r="A9" s="46" t="s">
        <v>9</v>
      </c>
      <c r="B9" s="47" t="s">
        <v>10</v>
      </c>
      <c r="C9" s="48" t="s">
        <v>11</v>
      </c>
      <c r="D9" s="47"/>
      <c r="E9" s="5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3"/>
      <c r="AQ9" s="43"/>
      <c r="AR9" s="43"/>
      <c r="AS9" s="43"/>
      <c r="AT9" s="43"/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  <c r="BI9" s="43"/>
      <c r="BJ9" s="43"/>
      <c r="BK9" s="43"/>
      <c r="BL9" s="43"/>
      <c r="BM9" s="43"/>
      <c r="BN9" s="43"/>
      <c r="BO9" s="43"/>
      <c r="BP9" s="43"/>
      <c r="BQ9" s="43"/>
      <c r="BR9" s="43"/>
      <c r="BS9" s="43"/>
      <c r="BT9" s="43"/>
      <c r="BU9" s="43"/>
      <c r="BV9" s="43"/>
    </row>
    <row r="10" spans="1:79" ht="16.5" customHeight="1" x14ac:dyDescent="0.25">
      <c r="A10" s="46"/>
      <c r="B10" s="47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</row>
    <row r="11" spans="1:79" ht="16.5" customHeight="1" x14ac:dyDescent="0.25">
      <c r="A11" s="9">
        <v>1</v>
      </c>
      <c r="B11" s="10" t="s">
        <v>14</v>
      </c>
      <c r="C11" s="10" t="s">
        <v>15</v>
      </c>
      <c r="D11" s="11">
        <f t="shared" ref="D11:D28" si="0">COUNT(F11:BV11)</f>
        <v>7</v>
      </c>
      <c r="E11" s="12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>
        <v>0</v>
      </c>
      <c r="Y11" s="8">
        <v>0</v>
      </c>
      <c r="Z11" s="8">
        <v>0</v>
      </c>
      <c r="AA11" s="8">
        <v>0</v>
      </c>
      <c r="AB11" s="8"/>
      <c r="AC11" s="8"/>
      <c r="AD11" s="8"/>
      <c r="AE11" s="8"/>
      <c r="AF11" s="8">
        <v>0</v>
      </c>
      <c r="AG11" s="8">
        <v>0</v>
      </c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>
        <v>0</v>
      </c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</row>
    <row r="12" spans="1:79" ht="16.5" customHeight="1" x14ac:dyDescent="0.25">
      <c r="A12" s="9">
        <v>2</v>
      </c>
      <c r="B12" s="10" t="s">
        <v>16</v>
      </c>
      <c r="C12" s="10" t="s">
        <v>17</v>
      </c>
      <c r="D12" s="11">
        <f t="shared" si="0"/>
        <v>1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>
        <v>0</v>
      </c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</row>
    <row r="13" spans="1:79" ht="16.5" customHeight="1" x14ac:dyDescent="0.25">
      <c r="A13" s="9">
        <v>3</v>
      </c>
      <c r="B13" s="10" t="s">
        <v>18</v>
      </c>
      <c r="C13" s="10" t="s">
        <v>19</v>
      </c>
      <c r="D13" s="11">
        <f t="shared" si="0"/>
        <v>16</v>
      </c>
      <c r="E13" s="12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/>
      <c r="AK13" s="8"/>
      <c r="AL13" s="8"/>
      <c r="AM13" s="8"/>
      <c r="AN13" s="8"/>
      <c r="AO13" s="8"/>
      <c r="AP13" s="8"/>
      <c r="AQ13" s="8"/>
      <c r="AR13" s="8">
        <v>0</v>
      </c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Z13" s="13"/>
      <c r="CA13" s="1" t="s">
        <v>20</v>
      </c>
    </row>
    <row r="14" spans="1:79" ht="16.5" customHeight="1" x14ac:dyDescent="0.25">
      <c r="A14" s="9">
        <v>4</v>
      </c>
      <c r="B14" s="10" t="s">
        <v>21</v>
      </c>
      <c r="C14" s="14" t="s">
        <v>22</v>
      </c>
      <c r="D14" s="11">
        <f t="shared" si="0"/>
        <v>11</v>
      </c>
      <c r="E14" s="12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/>
      <c r="AI14" s="8">
        <v>0</v>
      </c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</row>
    <row r="15" spans="1:79" ht="16.5" customHeight="1" x14ac:dyDescent="0.25">
      <c r="A15" s="9">
        <v>5</v>
      </c>
      <c r="B15" s="10" t="s">
        <v>23</v>
      </c>
      <c r="C15" s="10" t="s">
        <v>24</v>
      </c>
      <c r="D15" s="11">
        <f t="shared" si="0"/>
        <v>14</v>
      </c>
      <c r="E15" s="12"/>
      <c r="F15" s="8">
        <v>0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</row>
    <row r="16" spans="1:79" ht="16.5" customHeight="1" x14ac:dyDescent="0.25">
      <c r="A16" s="9">
        <v>6</v>
      </c>
      <c r="B16" s="10" t="s">
        <v>25</v>
      </c>
      <c r="C16" s="10" t="s">
        <v>26</v>
      </c>
      <c r="D16" s="11">
        <f t="shared" si="0"/>
        <v>10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>
        <v>0</v>
      </c>
      <c r="X16" s="8"/>
      <c r="Y16" s="8"/>
      <c r="Z16" s="8"/>
      <c r="AA16" s="8">
        <v>0</v>
      </c>
      <c r="AB16" s="8"/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/>
      <c r="AI16" s="8">
        <v>0</v>
      </c>
      <c r="AJ16" s="8"/>
      <c r="AK16" s="8"/>
      <c r="AL16" s="8"/>
      <c r="AM16" s="8"/>
      <c r="AN16" s="8">
        <v>0</v>
      </c>
      <c r="AO16" s="8"/>
      <c r="AP16" s="8"/>
      <c r="AQ16" s="8"/>
      <c r="AR16" s="8">
        <v>0</v>
      </c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</row>
    <row r="17" spans="1:74" ht="16.5" customHeight="1" x14ac:dyDescent="0.25">
      <c r="A17" s="9">
        <v>7</v>
      </c>
      <c r="B17" s="10" t="s">
        <v>27</v>
      </c>
      <c r="C17" s="10" t="s">
        <v>28</v>
      </c>
      <c r="D17" s="11">
        <f t="shared" si="0"/>
        <v>6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53" t="s">
        <v>50</v>
      </c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  <c r="BC17" s="54"/>
      <c r="BD17" s="54"/>
      <c r="BE17" s="54"/>
      <c r="BF17" s="54"/>
      <c r="BG17" s="54"/>
      <c r="BH17" s="54"/>
      <c r="BI17" s="54"/>
      <c r="BJ17" s="54"/>
      <c r="BK17" s="54"/>
      <c r="BL17" s="54"/>
      <c r="BM17" s="54"/>
      <c r="BN17" s="54"/>
      <c r="BO17" s="54"/>
      <c r="BP17" s="54"/>
      <c r="BQ17" s="54"/>
      <c r="BR17" s="54"/>
      <c r="BS17" s="54"/>
      <c r="BT17" s="54"/>
      <c r="BU17" s="54"/>
      <c r="BV17" s="55"/>
    </row>
    <row r="18" spans="1:74" ht="16.5" customHeight="1" x14ac:dyDescent="0.25">
      <c r="A18" s="9">
        <v>8</v>
      </c>
      <c r="B18" s="10" t="s">
        <v>21</v>
      </c>
      <c r="C18" s="10" t="s">
        <v>29</v>
      </c>
      <c r="D18" s="11">
        <f t="shared" si="0"/>
        <v>10</v>
      </c>
      <c r="E18" s="12"/>
      <c r="F18" s="8">
        <v>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/>
      <c r="AD18" s="8"/>
      <c r="AE18" s="8"/>
      <c r="AF18" s="8"/>
      <c r="AG18" s="8">
        <v>0</v>
      </c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</row>
    <row r="19" spans="1:74" ht="16.5" customHeight="1" x14ac:dyDescent="0.25">
      <c r="A19" s="9">
        <v>9</v>
      </c>
      <c r="B19" s="10" t="s">
        <v>21</v>
      </c>
      <c r="C19" s="10" t="s">
        <v>30</v>
      </c>
      <c r="D19" s="11">
        <f t="shared" si="0"/>
        <v>9</v>
      </c>
      <c r="E19" s="12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</row>
    <row r="20" spans="1:74" ht="16.5" customHeight="1" x14ac:dyDescent="0.25">
      <c r="A20" s="9">
        <v>10</v>
      </c>
      <c r="B20" s="10" t="s">
        <v>21</v>
      </c>
      <c r="C20" s="10" t="s">
        <v>31</v>
      </c>
      <c r="D20" s="11">
        <f t="shared" si="0"/>
        <v>10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/>
      <c r="AB20" s="8"/>
      <c r="AC20" s="8">
        <v>0</v>
      </c>
      <c r="AD20" s="8">
        <v>0</v>
      </c>
      <c r="AE20" s="8">
        <v>0</v>
      </c>
      <c r="AF20" s="8">
        <v>0</v>
      </c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</row>
    <row r="21" spans="1:74" ht="16.5" customHeight="1" x14ac:dyDescent="0.25">
      <c r="A21" s="9">
        <v>11</v>
      </c>
      <c r="B21" s="10" t="s">
        <v>32</v>
      </c>
      <c r="C21" s="10" t="s">
        <v>33</v>
      </c>
      <c r="D21" s="11">
        <f t="shared" si="0"/>
        <v>30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/>
      <c r="AI21" s="8">
        <v>0</v>
      </c>
      <c r="AJ21" s="8"/>
      <c r="AK21" s="8"/>
      <c r="AL21" s="8"/>
      <c r="AM21" s="8"/>
      <c r="AN21" s="8"/>
      <c r="AO21" s="8"/>
      <c r="AP21" s="8"/>
      <c r="AQ21" s="8"/>
      <c r="AR21" s="8">
        <v>0</v>
      </c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</row>
    <row r="22" spans="1:74" ht="16.5" customHeight="1" x14ac:dyDescent="0.25">
      <c r="A22" s="9">
        <v>12</v>
      </c>
      <c r="B22" s="14" t="s">
        <v>34</v>
      </c>
      <c r="C22" s="10" t="s">
        <v>35</v>
      </c>
      <c r="D22" s="11">
        <f t="shared" si="0"/>
        <v>13</v>
      </c>
      <c r="E22" s="12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/>
      <c r="AK22" s="8"/>
      <c r="AL22" s="8"/>
      <c r="AM22" s="8"/>
      <c r="AN22" s="8"/>
      <c r="AO22" s="8"/>
      <c r="AP22" s="8"/>
      <c r="AQ22" s="8"/>
      <c r="AR22" s="8">
        <v>0</v>
      </c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</row>
    <row r="23" spans="1:74" ht="16.5" customHeight="1" x14ac:dyDescent="0.25">
      <c r="A23" s="9">
        <v>13</v>
      </c>
      <c r="B23" s="10" t="s">
        <v>36</v>
      </c>
      <c r="C23" s="10" t="s">
        <v>37</v>
      </c>
      <c r="D23" s="11">
        <f t="shared" si="0"/>
        <v>30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/>
      <c r="AI23" s="8">
        <v>0</v>
      </c>
      <c r="AJ23" s="8"/>
      <c r="AK23" s="8"/>
      <c r="AL23" s="8"/>
      <c r="AM23" s="8"/>
      <c r="AN23" s="8"/>
      <c r="AO23" s="8"/>
      <c r="AP23" s="8"/>
      <c r="AQ23" s="8"/>
      <c r="AR23" s="8">
        <v>0</v>
      </c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</row>
    <row r="24" spans="1:74" ht="16.5" customHeight="1" x14ac:dyDescent="0.25">
      <c r="A24" s="9">
        <v>14</v>
      </c>
      <c r="B24" s="10" t="s">
        <v>38</v>
      </c>
      <c r="C24" s="10" t="s">
        <v>39</v>
      </c>
      <c r="D24" s="11">
        <f t="shared" si="0"/>
        <v>11</v>
      </c>
      <c r="E24" s="12"/>
      <c r="F24" s="8">
        <v>0</v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>
        <v>0</v>
      </c>
      <c r="Y24" s="8">
        <v>0</v>
      </c>
      <c r="Z24" s="8">
        <v>0</v>
      </c>
      <c r="AA24" s="8">
        <v>0</v>
      </c>
      <c r="AB24" s="8"/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/>
      <c r="AI24" s="8">
        <v>0</v>
      </c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</row>
    <row r="25" spans="1:74" ht="16.5" customHeight="1" x14ac:dyDescent="0.25">
      <c r="A25" s="9">
        <v>15</v>
      </c>
      <c r="B25" s="10" t="s">
        <v>40</v>
      </c>
      <c r="C25" s="10" t="s">
        <v>41</v>
      </c>
      <c r="D25" s="11">
        <f t="shared" si="0"/>
        <v>17</v>
      </c>
      <c r="E25" s="12"/>
      <c r="F25" s="8">
        <v>0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/>
      <c r="AJ25" s="8"/>
      <c r="AK25" s="8"/>
      <c r="AL25" s="8"/>
      <c r="AM25" s="8"/>
      <c r="AN25" s="8">
        <v>0</v>
      </c>
      <c r="AO25" s="8"/>
      <c r="AP25" s="8"/>
      <c r="AQ25" s="8"/>
      <c r="AR25" s="8">
        <v>0</v>
      </c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</row>
    <row r="26" spans="1:74" ht="16.5" customHeight="1" x14ac:dyDescent="0.25">
      <c r="A26" s="9">
        <v>16</v>
      </c>
      <c r="B26" s="10" t="s">
        <v>42</v>
      </c>
      <c r="C26" s="10" t="s">
        <v>43</v>
      </c>
      <c r="D26" s="11">
        <f t="shared" si="0"/>
        <v>17</v>
      </c>
      <c r="E26" s="12"/>
      <c r="F26" s="8">
        <v>0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/>
      <c r="AK26" s="8"/>
      <c r="AL26" s="8"/>
      <c r="AM26" s="8"/>
      <c r="AN26" s="8"/>
      <c r="AO26" s="8"/>
      <c r="AP26" s="8"/>
      <c r="AQ26" s="8"/>
      <c r="AR26" s="8">
        <v>0</v>
      </c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</row>
    <row r="27" spans="1:74" ht="16.5" customHeight="1" x14ac:dyDescent="0.25">
      <c r="A27" s="9">
        <v>17</v>
      </c>
      <c r="B27" s="10" t="s">
        <v>44</v>
      </c>
      <c r="C27" s="10" t="s">
        <v>45</v>
      </c>
      <c r="D27" s="11">
        <f t="shared" si="0"/>
        <v>31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/>
      <c r="AK27" s="8"/>
      <c r="AL27" s="8"/>
      <c r="AM27" s="8"/>
      <c r="AN27" s="8"/>
      <c r="AO27" s="8"/>
      <c r="AP27" s="8"/>
      <c r="AQ27" s="8"/>
      <c r="AR27" s="8">
        <v>0</v>
      </c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</row>
    <row r="28" spans="1:74" ht="16.5" customHeight="1" x14ac:dyDescent="0.25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52" t="s">
        <v>48</v>
      </c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</row>
  </sheetData>
  <mergeCells count="168">
    <mergeCell ref="AR1:AU1"/>
    <mergeCell ref="AN1:AQ1"/>
    <mergeCell ref="AC1:AE1"/>
    <mergeCell ref="U1:W1"/>
    <mergeCell ref="BR8:BR9"/>
    <mergeCell ref="BS8:BS9"/>
    <mergeCell ref="BT8:BT9"/>
    <mergeCell ref="BU8:BU9"/>
    <mergeCell ref="BV8:BV9"/>
    <mergeCell ref="E28:BV28"/>
    <mergeCell ref="BO8:BO9"/>
    <mergeCell ref="BP8:BP9"/>
    <mergeCell ref="BQ8:BQ9"/>
    <mergeCell ref="L17:BV17"/>
    <mergeCell ref="AW8:AW9"/>
    <mergeCell ref="AX8:AX9"/>
    <mergeCell ref="AY8:AY9"/>
    <mergeCell ref="AH8:AH9"/>
    <mergeCell ref="AI8:AI9"/>
    <mergeCell ref="AJ8:AJ9"/>
    <mergeCell ref="AK8:AK9"/>
    <mergeCell ref="AL8:AL9"/>
    <mergeCell ref="AM8:AM9"/>
    <mergeCell ref="AN8:AN9"/>
    <mergeCell ref="AO8:AO9"/>
    <mergeCell ref="A9:A10"/>
    <mergeCell ref="B9:B10"/>
    <mergeCell ref="C9:D9"/>
    <mergeCell ref="BI8:BI9"/>
    <mergeCell ref="BJ8:BJ9"/>
    <mergeCell ref="BK8:BK9"/>
    <mergeCell ref="BL8:BL9"/>
    <mergeCell ref="BM8:BM9"/>
    <mergeCell ref="BN8:BN9"/>
    <mergeCell ref="AZ8:AZ9"/>
    <mergeCell ref="BA8:BA9"/>
    <mergeCell ref="BB8:BB9"/>
    <mergeCell ref="BC8:BC9"/>
    <mergeCell ref="BD8:BD9"/>
    <mergeCell ref="BE8:BE9"/>
    <mergeCell ref="BF8:BF9"/>
    <mergeCell ref="BG8:BG9"/>
    <mergeCell ref="BH8:BH9"/>
    <mergeCell ref="AQ8:AQ9"/>
    <mergeCell ref="AR8:AR9"/>
    <mergeCell ref="AS8:AS9"/>
    <mergeCell ref="AT8:AT9"/>
    <mergeCell ref="AU8:AU9"/>
    <mergeCell ref="AV8:AV9"/>
    <mergeCell ref="AP8:AP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A8:B8"/>
    <mergeCell ref="C8:D8"/>
    <mergeCell ref="F8:F9"/>
    <mergeCell ref="BO2:BO7"/>
    <mergeCell ref="BP2:BP7"/>
    <mergeCell ref="BQ2:BQ7"/>
    <mergeCell ref="BR2:BR7"/>
    <mergeCell ref="BS2:BS7"/>
    <mergeCell ref="BT2:BT7"/>
    <mergeCell ref="AP2:AP7"/>
    <mergeCell ref="AQ2:AQ7"/>
    <mergeCell ref="AR2:AR7"/>
    <mergeCell ref="AS2:AS7"/>
    <mergeCell ref="AT2:AT7"/>
    <mergeCell ref="AU2:AU7"/>
    <mergeCell ref="AV2:AV7"/>
    <mergeCell ref="AE2:AE7"/>
    <mergeCell ref="AF2:AF7"/>
    <mergeCell ref="AG2:AG7"/>
    <mergeCell ref="AH2:AH7"/>
    <mergeCell ref="AI2:AI7"/>
    <mergeCell ref="AJ2:AJ7"/>
    <mergeCell ref="AK2:AK7"/>
    <mergeCell ref="AL2:AL7"/>
    <mergeCell ref="BU2:BU7"/>
    <mergeCell ref="BV2:BV7"/>
    <mergeCell ref="C6:D6"/>
    <mergeCell ref="C7:D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AN2:AN7"/>
    <mergeCell ref="AO2:AO7"/>
    <mergeCell ref="AM2:AM7"/>
    <mergeCell ref="AA2:AA7"/>
    <mergeCell ref="X2:X7"/>
    <mergeCell ref="Y2:Y7"/>
    <mergeCell ref="Z2:Z7"/>
    <mergeCell ref="V2:V7"/>
    <mergeCell ref="W2:W7"/>
    <mergeCell ref="AB2:AB7"/>
    <mergeCell ref="AC2:AC7"/>
    <mergeCell ref="AD2:AD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AJ1:AM1"/>
    <mergeCell ref="X1:Z1"/>
    <mergeCell ref="A1:A2"/>
    <mergeCell ref="B1:D2"/>
    <mergeCell ref="S2:S7"/>
    <mergeCell ref="T2:T7"/>
    <mergeCell ref="E2:E7"/>
    <mergeCell ref="F2:F7"/>
    <mergeCell ref="G2:G7"/>
    <mergeCell ref="A3:D3"/>
    <mergeCell ref="A4:B4"/>
    <mergeCell ref="C4:D4"/>
    <mergeCell ref="A5:B5"/>
    <mergeCell ref="C5:D5"/>
    <mergeCell ref="A6:B6"/>
    <mergeCell ref="A7:B7"/>
    <mergeCell ref="L1:M1"/>
    <mergeCell ref="N1:P1"/>
    <mergeCell ref="Q1:S1"/>
    <mergeCell ref="F1:H1"/>
    <mergeCell ref="I1:K1"/>
    <mergeCell ref="U2:U7"/>
    <mergeCell ref="H2:H7"/>
    <mergeCell ref="I2:I7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ლილი კაცაძე</cp:lastModifiedBy>
  <cp:revision>114</cp:revision>
  <dcterms:created xsi:type="dcterms:W3CDTF">2015-06-05T18:17:20Z</dcterms:created>
  <dcterms:modified xsi:type="dcterms:W3CDTF">2026-09-24T14:07:29Z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