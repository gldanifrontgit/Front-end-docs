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igner\Desktop\Front\01. - Front-end-docs\ჟურნალი\"/>
    </mc:Choice>
  </mc:AlternateContent>
  <xr:revisionPtr revIDLastSave="0" documentId="13_ncr:1_{8CCD70F1-07A5-4501-AFF5-03077B1816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301 ინტეგრირებულ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<sst xmlns="http://schemas.openxmlformats.org/spreadsheetml/2006/main" count="56" uniqueCount="52">
  <si>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</si>
  <si>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</si>
  <si>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</si>
  <si>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</si>
  <si>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</si>
  <si>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</si>
  <si>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</si>
  <si>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</si>
  <si>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</si>
  <si>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</si>
  <si>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</si>
  <si>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</si>
  <si>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</si>
  <si>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</si>
  <si>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</si>
  <si>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</si>
  <si>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</si>
  <si>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</si>
  <si>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</si>
  <si>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</si>
  <si>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</si>
  <si>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</si>
  <si>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</si>
  <si>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</si>
  <si>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</si>
  <si>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</si>
  <si>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</si>
  <si>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</si>
  <si>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</si>
  <si>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</si>
  <si>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</si>
  <si>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</si>
  <si>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</si>
  <si>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</si>
  <si>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</si>
  <si>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</si>
  <si>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</si>
  <si>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</si>
  <si>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</si>
  <si>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</si>
  <si>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</si>
  <si>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</si>
  <si>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</si>
  <si>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</si>
  <si>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</si>
  <si>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</si>
  <si>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</si>
  <si>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</si>
  <si>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</si>
  <si>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</si>
  <si>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</si>
  <si>
    <t>სტატუსი შეუწყდა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</si>
</sst>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W26" sqref="AW26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5.5703125" style="1" customWidth="1"/>
    <col min="6" max="16384" width="3.5703125" style="1"/>
  </cols>
  <sheetData>
    <row r="1" spans="1:79" ht="16.5" customHeight="1" x14ac:dyDescent="0.25">
      <c r="A1" s="44" t="s">
        <v>0</v>
      </c>
      <c r="B1" s="45" t="s">
        <v>1</v>
      </c>
      <c r="C1" s="45"/>
      <c r="D1" s="46"/>
      <c r="F1" s="20">
        <v>3</v>
      </c>
      <c r="G1" s="21"/>
      <c r="H1" s="22"/>
      <c r="I1" s="20">
        <v>3</v>
      </c>
      <c r="J1" s="21"/>
      <c r="K1" s="22"/>
      <c r="L1" s="20">
        <v>2</v>
      </c>
      <c r="M1" s="22"/>
      <c r="N1" s="20">
        <v>3</v>
      </c>
      <c r="O1" s="21"/>
      <c r="P1" s="22"/>
      <c r="Q1" s="20">
        <v>3</v>
      </c>
      <c r="R1" s="21"/>
      <c r="S1" s="22"/>
      <c r="T1" s="18">
        <v>1</v>
      </c>
      <c r="U1" s="20">
        <v>3</v>
      </c>
      <c r="V1" s="21"/>
      <c r="W1" s="22"/>
      <c r="X1" s="20">
        <v>3</v>
      </c>
      <c r="Y1" s="21"/>
      <c r="Z1" s="22"/>
      <c r="AA1" s="18">
        <v>1</v>
      </c>
      <c r="AB1" s="18">
        <v>1</v>
      </c>
      <c r="AC1" s="20">
        <v>3</v>
      </c>
      <c r="AD1" s="21"/>
      <c r="AE1" s="22"/>
      <c r="AF1" s="18">
        <v>1</v>
      </c>
      <c r="AG1" s="18">
        <v>1</v>
      </c>
      <c r="AH1" s="18">
        <v>1</v>
      </c>
      <c r="AI1" s="18">
        <v>1</v>
      </c>
      <c r="AJ1" s="20">
        <v>4</v>
      </c>
      <c r="AK1" s="21"/>
      <c r="AL1" s="21"/>
      <c r="AM1" s="22"/>
      <c r="AN1" s="23">
        <v>4</v>
      </c>
      <c r="AO1" s="24"/>
      <c r="AP1" s="24"/>
      <c r="AQ1" s="25"/>
      <c r="AR1" s="20">
        <v>4</v>
      </c>
      <c r="AS1" s="21"/>
      <c r="AT1" s="21"/>
      <c r="AU1" s="22"/>
      <c r="AV1" s="20">
        <v>4</v>
      </c>
      <c r="AW1" s="21"/>
      <c r="AX1" s="21"/>
      <c r="AY1" s="22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9"/>
      <c r="BK1" s="19"/>
      <c r="BL1" s="19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46</v>
      </c>
    </row>
    <row r="2" spans="1:79" ht="11.25" customHeight="1" x14ac:dyDescent="0.25">
      <c r="A2" s="44"/>
      <c r="B2" s="47"/>
      <c r="C2" s="47"/>
      <c r="D2" s="48"/>
      <c r="E2" s="49" t="s">
        <v>2</v>
      </c>
      <c r="F2" s="38">
        <v>46209</v>
      </c>
      <c r="G2" s="38">
        <v>46209</v>
      </c>
      <c r="H2" s="38">
        <v>46209</v>
      </c>
      <c r="I2" s="38">
        <v>46210</v>
      </c>
      <c r="J2" s="38">
        <v>46210</v>
      </c>
      <c r="K2" s="38">
        <v>46210</v>
      </c>
      <c r="L2" s="38">
        <v>46213</v>
      </c>
      <c r="M2" s="38">
        <v>46213</v>
      </c>
      <c r="N2" s="38">
        <v>46216</v>
      </c>
      <c r="O2" s="38">
        <v>46216</v>
      </c>
      <c r="P2" s="38">
        <v>46216</v>
      </c>
      <c r="Q2" s="38">
        <v>46217</v>
      </c>
      <c r="R2" s="38">
        <v>46217</v>
      </c>
      <c r="S2" s="38">
        <v>46217</v>
      </c>
      <c r="T2" s="38">
        <v>46220</v>
      </c>
      <c r="U2" s="38">
        <v>46223</v>
      </c>
      <c r="V2" s="38">
        <v>46223</v>
      </c>
      <c r="W2" s="38">
        <v>46223</v>
      </c>
      <c r="X2" s="38">
        <v>46224</v>
      </c>
      <c r="Y2" s="38">
        <v>46224</v>
      </c>
      <c r="Z2" s="38">
        <v>46224</v>
      </c>
      <c r="AA2" s="38">
        <v>46225</v>
      </c>
      <c r="AB2" s="38">
        <v>46227</v>
      </c>
      <c r="AC2" s="38">
        <v>46230</v>
      </c>
      <c r="AD2" s="38">
        <v>46230</v>
      </c>
      <c r="AE2" s="38">
        <v>46230</v>
      </c>
      <c r="AF2" s="38">
        <v>46232</v>
      </c>
      <c r="AG2" s="40">
        <v>46234</v>
      </c>
      <c r="AH2" s="38">
        <v>46274</v>
      </c>
      <c r="AI2" s="38">
        <v>46276</v>
      </c>
      <c r="AJ2" s="38">
        <v>46282</v>
      </c>
      <c r="AK2" s="38">
        <v>46282</v>
      </c>
      <c r="AL2" s="38">
        <v>46282</v>
      </c>
      <c r="AM2" s="38">
        <v>46282</v>
      </c>
      <c r="AN2" s="38">
        <v>46283</v>
      </c>
      <c r="AO2" s="38">
        <v>46283</v>
      </c>
      <c r="AP2" s="38">
        <v>46283</v>
      </c>
      <c r="AQ2" s="38">
        <v>46283</v>
      </c>
      <c r="AR2" s="38">
        <v>46289</v>
      </c>
      <c r="AS2" s="38">
        <v>46289</v>
      </c>
      <c r="AT2" s="38">
        <v>46289</v>
      </c>
      <c r="AU2" s="38">
        <v>46289</v>
      </c>
      <c r="AV2" s="38">
        <v>46290</v>
      </c>
      <c r="AW2" s="38">
        <v>46290</v>
      </c>
      <c r="AX2" s="38">
        <v>46290</v>
      </c>
      <c r="AY2" s="38">
        <v>46290</v>
      </c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</row>
    <row r="3" spans="1:79" ht="24" customHeight="1" x14ac:dyDescent="0.25">
      <c r="A3" s="52" t="s">
        <v>49</v>
      </c>
      <c r="B3" s="52"/>
      <c r="C3" s="52"/>
      <c r="D3" s="52"/>
      <c r="E3" s="50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40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</row>
    <row r="4" spans="1:79" ht="24.75" customHeight="1" x14ac:dyDescent="0.25">
      <c r="A4" s="52" t="s">
        <v>3</v>
      </c>
      <c r="B4" s="52"/>
      <c r="C4" s="53" t="s">
        <v>4</v>
      </c>
      <c r="D4" s="37"/>
      <c r="E4" s="50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40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</row>
    <row r="5" spans="1:79" ht="16.5" customHeight="1" x14ac:dyDescent="0.25">
      <c r="A5" s="54" t="s">
        <v>5</v>
      </c>
      <c r="B5" s="54"/>
      <c r="C5" s="42">
        <v>60</v>
      </c>
      <c r="D5" s="43"/>
      <c r="E5" s="50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40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</row>
    <row r="6" spans="1:79" ht="16.5" customHeight="1" x14ac:dyDescent="0.25">
      <c r="A6" s="54" t="s">
        <v>6</v>
      </c>
      <c r="B6" s="54"/>
      <c r="C6" s="42">
        <v>2</v>
      </c>
      <c r="D6" s="43"/>
      <c r="E6" s="50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40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</row>
    <row r="7" spans="1:79" ht="16.5" customHeight="1" x14ac:dyDescent="0.25">
      <c r="A7" s="55" t="s">
        <v>7</v>
      </c>
      <c r="B7" s="55"/>
      <c r="C7" s="42">
        <v>13</v>
      </c>
      <c r="D7" s="43"/>
      <c r="E7" s="51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1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</row>
    <row r="8" spans="1:79" ht="24" customHeight="1" x14ac:dyDescent="0.25">
      <c r="A8" s="35" t="s">
        <v>8</v>
      </c>
      <c r="B8" s="35"/>
      <c r="C8" s="36">
        <f>SUM(C5:D7)</f>
        <v>75</v>
      </c>
      <c r="D8" s="37"/>
      <c r="E8" s="3"/>
      <c r="F8" s="26">
        <v>7</v>
      </c>
      <c r="G8" s="26">
        <v>8</v>
      </c>
      <c r="H8" s="26">
        <v>9</v>
      </c>
      <c r="I8" s="26">
        <v>10</v>
      </c>
      <c r="J8" s="26">
        <v>11</v>
      </c>
      <c r="K8" s="26">
        <v>12</v>
      </c>
      <c r="L8" s="26">
        <v>13</v>
      </c>
      <c r="M8" s="26">
        <v>14</v>
      </c>
      <c r="N8" s="26">
        <v>15</v>
      </c>
      <c r="O8" s="26">
        <v>16</v>
      </c>
      <c r="P8" s="26">
        <v>17</v>
      </c>
      <c r="Q8" s="26">
        <v>18</v>
      </c>
      <c r="R8" s="26">
        <v>19</v>
      </c>
      <c r="S8" s="26">
        <v>20</v>
      </c>
      <c r="T8" s="26">
        <v>21</v>
      </c>
      <c r="U8" s="26">
        <v>22</v>
      </c>
      <c r="V8" s="26">
        <v>23</v>
      </c>
      <c r="W8" s="26">
        <v>24</v>
      </c>
      <c r="X8" s="26">
        <v>25</v>
      </c>
      <c r="Y8" s="26">
        <v>26</v>
      </c>
      <c r="Z8" s="26">
        <v>27</v>
      </c>
      <c r="AA8" s="26">
        <v>28</v>
      </c>
      <c r="AB8" s="26">
        <v>29</v>
      </c>
      <c r="AC8" s="26">
        <v>30</v>
      </c>
      <c r="AD8" s="26">
        <v>31</v>
      </c>
      <c r="AE8" s="26">
        <v>32</v>
      </c>
      <c r="AF8" s="26">
        <v>33</v>
      </c>
      <c r="AG8" s="26">
        <v>34</v>
      </c>
      <c r="AH8" s="26">
        <v>35</v>
      </c>
      <c r="AI8" s="26">
        <v>36</v>
      </c>
      <c r="AJ8" s="26">
        <v>37</v>
      </c>
      <c r="AK8" s="26">
        <v>38</v>
      </c>
      <c r="AL8" s="26">
        <v>39</v>
      </c>
      <c r="AM8" s="26">
        <v>40</v>
      </c>
      <c r="AN8" s="26">
        <v>41</v>
      </c>
      <c r="AO8" s="26">
        <v>42</v>
      </c>
      <c r="AP8" s="26">
        <v>43</v>
      </c>
      <c r="AQ8" s="26">
        <v>44</v>
      </c>
      <c r="AR8" s="26">
        <v>45</v>
      </c>
      <c r="AS8" s="26">
        <v>46</v>
      </c>
      <c r="AT8" s="26">
        <v>47</v>
      </c>
      <c r="AU8" s="26">
        <v>48</v>
      </c>
      <c r="AV8" s="26">
        <v>49</v>
      </c>
      <c r="AW8" s="26">
        <v>50</v>
      </c>
      <c r="AX8" s="26">
        <v>51</v>
      </c>
      <c r="AY8" s="26">
        <v>52</v>
      </c>
      <c r="AZ8" s="26">
        <v>53</v>
      </c>
      <c r="BA8" s="26">
        <v>54</v>
      </c>
      <c r="BB8" s="26">
        <v>55</v>
      </c>
      <c r="BC8" s="26">
        <v>56</v>
      </c>
      <c r="BD8" s="26">
        <v>57</v>
      </c>
      <c r="BE8" s="26">
        <v>58</v>
      </c>
      <c r="BF8" s="26">
        <v>59</v>
      </c>
      <c r="BG8" s="26">
        <v>60</v>
      </c>
      <c r="BH8" s="26">
        <v>61</v>
      </c>
      <c r="BI8" s="26">
        <v>62</v>
      </c>
      <c r="BJ8" s="26">
        <v>63</v>
      </c>
      <c r="BK8" s="26">
        <v>64</v>
      </c>
      <c r="BL8" s="26">
        <v>65</v>
      </c>
      <c r="BM8" s="26">
        <v>66</v>
      </c>
      <c r="BN8" s="26">
        <v>67</v>
      </c>
      <c r="BO8" s="26">
        <v>68</v>
      </c>
      <c r="BP8" s="26">
        <v>69</v>
      </c>
      <c r="BQ8" s="26">
        <v>70</v>
      </c>
      <c r="BR8" s="26">
        <v>71</v>
      </c>
      <c r="BS8" s="26">
        <v>72</v>
      </c>
      <c r="BT8" s="26">
        <v>73</v>
      </c>
      <c r="BU8" s="26">
        <v>74</v>
      </c>
      <c r="BV8" s="26">
        <v>75</v>
      </c>
    </row>
    <row r="9" spans="1:79" ht="16.5" customHeight="1" x14ac:dyDescent="0.25">
      <c r="A9" s="32" t="s">
        <v>9</v>
      </c>
      <c r="B9" s="33" t="s">
        <v>10</v>
      </c>
      <c r="C9" s="34" t="s">
        <v>11</v>
      </c>
      <c r="D9" s="33"/>
      <c r="E9" s="5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</row>
    <row r="10" spans="1:79" ht="16.5" customHeight="1" x14ac:dyDescent="0.25">
      <c r="A10" s="32"/>
      <c r="B10" s="33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25">
      <c r="A11" s="9">
        <v>1</v>
      </c>
      <c r="B11" s="10" t="s">
        <v>14</v>
      </c>
      <c r="C11" s="10" t="s">
        <v>15</v>
      </c>
      <c r="D11" s="11">
        <f t="shared" ref="D11:D28" si="0">COUNT(F11:BV11)</f>
        <v>7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>
        <v>0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25">
      <c r="A12" s="9">
        <v>2</v>
      </c>
      <c r="B12" s="10" t="s">
        <v>16</v>
      </c>
      <c r="C12" s="10" t="s">
        <v>17</v>
      </c>
      <c r="D12" s="11">
        <f t="shared" si="0"/>
        <v>1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>
        <v>0</v>
      </c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25">
      <c r="A13" s="9">
        <v>3</v>
      </c>
      <c r="B13" s="10" t="s">
        <v>18</v>
      </c>
      <c r="C13" s="10" t="s">
        <v>19</v>
      </c>
      <c r="D13" s="11">
        <f t="shared" si="0"/>
        <v>16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>
        <v>0</v>
      </c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25">
      <c r="A14" s="9">
        <v>4</v>
      </c>
      <c r="B14" s="10" t="s">
        <v>21</v>
      </c>
      <c r="C14" s="14" t="s">
        <v>22</v>
      </c>
      <c r="D14" s="11">
        <f t="shared" si="0"/>
        <v>11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2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25">
      <c r="A16" s="9">
        <v>6</v>
      </c>
      <c r="B16" s="10" t="s">
        <v>25</v>
      </c>
      <c r="C16" s="10" t="s">
        <v>26</v>
      </c>
      <c r="D16" s="11">
        <f t="shared" si="0"/>
        <v>10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>
        <v>0</v>
      </c>
      <c r="AJ16" s="8"/>
      <c r="AK16" s="8"/>
      <c r="AL16" s="8"/>
      <c r="AM16" s="8"/>
      <c r="AN16" s="8">
        <v>0</v>
      </c>
      <c r="AO16" s="8"/>
      <c r="AP16" s="8"/>
      <c r="AQ16" s="8"/>
      <c r="AR16" s="8">
        <v>0</v>
      </c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2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29" t="s">
        <v>50</v>
      </c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1"/>
    </row>
    <row r="18" spans="1:74" ht="16.5" customHeight="1" x14ac:dyDescent="0.2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2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2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25">
      <c r="A21" s="9">
        <v>11</v>
      </c>
      <c r="B21" s="10" t="s">
        <v>32</v>
      </c>
      <c r="C21" s="10" t="s">
        <v>33</v>
      </c>
      <c r="D21" s="11">
        <f t="shared" si="0"/>
        <v>29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>
        <v>0</v>
      </c>
      <c r="AJ21" s="29" t="s">
        <v>51</v>
      </c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1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25">
      <c r="A22" s="9">
        <v>12</v>
      </c>
      <c r="B22" s="14" t="s">
        <v>34</v>
      </c>
      <c r="C22" s="10" t="s">
        <v>35</v>
      </c>
      <c r="D22" s="11">
        <f t="shared" si="0"/>
        <v>13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>
        <v>0</v>
      </c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25">
      <c r="A23" s="9">
        <v>13</v>
      </c>
      <c r="B23" s="10" t="s">
        <v>36</v>
      </c>
      <c r="C23" s="10" t="s">
        <v>37</v>
      </c>
      <c r="D23" s="11">
        <f t="shared" si="0"/>
        <v>29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>
        <v>0</v>
      </c>
      <c r="AJ23" s="29" t="s">
        <v>51</v>
      </c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1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25">
      <c r="A24" s="9">
        <v>14</v>
      </c>
      <c r="B24" s="10" t="s">
        <v>38</v>
      </c>
      <c r="C24" s="10" t="s">
        <v>39</v>
      </c>
      <c r="D24" s="11">
        <f t="shared" si="0"/>
        <v>11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>
        <v>0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25">
      <c r="A25" s="9">
        <v>15</v>
      </c>
      <c r="B25" s="10" t="s">
        <v>40</v>
      </c>
      <c r="C25" s="10" t="s">
        <v>41</v>
      </c>
      <c r="D25" s="11">
        <f t="shared" si="0"/>
        <v>17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>
        <v>0</v>
      </c>
      <c r="AO25" s="8"/>
      <c r="AP25" s="8"/>
      <c r="AQ25" s="8"/>
      <c r="AR25" s="8">
        <v>0</v>
      </c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25">
      <c r="A26" s="9">
        <v>16</v>
      </c>
      <c r="B26" s="10" t="s">
        <v>42</v>
      </c>
      <c r="C26" s="10" t="s">
        <v>43</v>
      </c>
      <c r="D26" s="11">
        <f t="shared" si="0"/>
        <v>17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>
        <v>0</v>
      </c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25">
      <c r="A27" s="9">
        <v>17</v>
      </c>
      <c r="B27" s="10" t="s">
        <v>44</v>
      </c>
      <c r="C27" s="10" t="s">
        <v>45</v>
      </c>
      <c r="D27" s="11">
        <f t="shared" si="0"/>
        <v>31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/>
      <c r="AK27" s="8"/>
      <c r="AL27" s="8"/>
      <c r="AM27" s="8"/>
      <c r="AN27" s="8"/>
      <c r="AO27" s="8"/>
      <c r="AP27" s="8"/>
      <c r="AQ27" s="8"/>
      <c r="AR27" s="8">
        <v>0</v>
      </c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25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8" t="s">
        <v>48</v>
      </c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</row>
  </sheetData>
  <mergeCells count="171">
    <mergeCell ref="AJ21:BD21"/>
    <mergeCell ref="AJ23:BD23"/>
    <mergeCell ref="AV1:AY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M2:AM7"/>
    <mergeCell ref="AA2:AA7"/>
    <mergeCell ref="X2:X7"/>
    <mergeCell ref="Y2:Y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E28:BV28"/>
    <mergeCell ref="BO8:BO9"/>
    <mergeCell ref="BP8:BP9"/>
    <mergeCell ref="BQ8:BQ9"/>
    <mergeCell ref="L17:BV17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R1:AU1"/>
    <mergeCell ref="AN1:AQ1"/>
    <mergeCell ref="AC1:AE1"/>
    <mergeCell ref="U1:W1"/>
    <mergeCell ref="BR8:BR9"/>
    <mergeCell ref="BS8:BS9"/>
    <mergeCell ref="BT8:BT9"/>
    <mergeCell ref="BU8:BU9"/>
    <mergeCell ref="BV8:BV9"/>
    <mergeCell ref="AF8:AF9"/>
    <mergeCell ref="AG8:AG9"/>
    <mergeCell ref="BU2:BU7"/>
    <mergeCell ref="BV2:BV7"/>
    <mergeCell ref="BM2:BM7"/>
    <mergeCell ref="BN2:BN7"/>
    <mergeCell ref="Z2:Z7"/>
    <mergeCell ref="V2:V7"/>
    <mergeCell ref="W2:W7"/>
    <mergeCell ref="AB2:AB7"/>
    <mergeCell ref="AC2:AC7"/>
    <mergeCell ref="AD2:AD7"/>
    <mergeCell ref="AJ1:AM1"/>
    <mergeCell ref="X1:Z1"/>
    <mergeCell ref="U2:U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ლილი კაცაძე</cp:lastModifiedBy>
  <cp:revision>114</cp:revision>
  <dcterms:created xsi:type="dcterms:W3CDTF">2015-06-05T18:17:20Z</dcterms:created>
  <dcterms:modified xsi:type="dcterms:W3CDTF">2026-09-25T13:16:36Z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